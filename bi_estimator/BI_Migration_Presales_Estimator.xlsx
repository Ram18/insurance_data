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imate" sheetId="1" state="visible" r:id="rId3"/>
    <sheet name="Plan" sheetId="2" state="visible" r:id="rId4"/>
    <sheet name="Reference" sheetId="3" state="visible" r:id="rId5"/>
  </sheets>
  <definedNames>
    <definedName function="false" hidden="false" name="ActivePairs" vbProcedure="false">Estimate!$T$43</definedName>
    <definedName function="false" hidden="false" name="AIHrs" vbProcedure="false">Reference!$B$25</definedName>
    <definedName function="false" hidden="false" name="AnchorAnalysis" vbProcedure="false">Reference!$D$31:$D$35</definedName>
    <definedName function="false" hidden="false" name="AnchorInit" vbProcedure="false">Reference!$C$31:$C$35</definedName>
    <definedName function="false" hidden="false" name="AnchorPages" vbProcedure="false">Reference!$B$31:$B$35</definedName>
    <definedName function="false" hidden="false" name="ApproachShare" vbProcedure="false">Reference!$J$48:$M$51</definedName>
    <definedName function="false" hidden="false" name="ArchFactor" vbProcedure="false">Reference!$J$40:$M$43</definedName>
    <definedName function="false" hidden="false" name="ArchNames" vbProcedure="false">Reference!$I$40:$I$43</definedName>
    <definedName function="false" hidden="false" name="ArchPerPair" vbProcedure="false">Reference!$B$38</definedName>
    <definedName function="false" hidden="false" name="ArchPerTool" vbProcedure="false">Reference!$B$37</definedName>
    <definedName function="false" hidden="false" name="AssessHrs" vbProcedure="false">Estimate!$T$48</definedName>
    <definedName function="false" hidden="false" name="AssessPerModel" vbProcedure="false">Reference!$B$36</definedName>
    <definedName function="false" hidden="false" name="AssessTeam" vbProcedure="false">Estimate!$C$10</definedName>
    <definedName function="false" hidden="false" name="Auto" vbProcedure="false">Estimate!$C$11</definedName>
    <definedName function="false" hidden="false" name="AvgTeam" vbProcedure="false">Plan!$B$28</definedName>
    <definedName function="false" hidden="false" name="BlendedRate" vbProcedure="false">Plan!$B$29</definedName>
    <definedName function="false" hidden="false" name="CapAssess" vbProcedure="false">Reference!$B$41</definedName>
    <definedName function="false" hidden="false" name="CapDep" vbProcedure="false">Reference!$B$46</definedName>
    <definedName function="false" hidden="false" name="CapRep" vbProcedure="false">Reference!$B$43</definedName>
    <definedName function="false" hidden="false" name="CapSem" vbProcedure="false">Reference!$B$42</definedName>
    <definedName function="false" hidden="false" name="CapSIT" vbProcedure="false">Reference!$B$44</definedName>
    <definedName function="false" hidden="false" name="CapUAT" vbProcedure="false">Reference!$B$45</definedName>
    <definedName function="false" hidden="false" name="CheckFails" vbProcedure="false">Estimate!$T$57</definedName>
    <definedName function="false" hidden="false" name="Client" vbProcedure="false">Estimate!$C$5</definedName>
    <definedName function="false" hidden="false" name="ContPct" vbProcedure="false">Estimate!$C$12</definedName>
    <definedName function="false" hidden="false" name="DepEng" vbProcedure="false">Reference!$B$54</definedName>
    <definedName function="false" hidden="false" name="DepWk" vbProcedure="false">Reference!$B$55</definedName>
    <definedName function="false" hidden="false" name="DevHrs" vbProcedure="false">Estimate!$T$49</definedName>
    <definedName function="false" hidden="false" name="DevStart" vbProcedure="false">Estimate!$T$53</definedName>
    <definedName function="false" hidden="false" name="DevTeam" vbProcedure="false">Estimate!$C$9</definedName>
    <definedName function="false" hidden="false" name="DevWeeks" vbProcedure="false">Estimate!$T$52</definedName>
    <definedName function="false" hidden="false" name="DPModel" vbProcedure="false">Reference!$B$19</definedName>
    <definedName function="false" hidden="false" name="DPRep" vbProcedure="false">Reference!$B$18</definedName>
    <definedName function="false" hidden="false" name="DurWeeks" vbProcedure="false">Estimate!$T$56</definedName>
    <definedName function="false" hidden="false" name="EstHrs" vbProcedure="false">Estimate!$F$37</definedName>
    <definedName function="false" hidden="false" name="ExpPrice" vbProcedure="false">Estimate!$G$40</definedName>
    <definedName function="false" hidden="false" name="HandoverHrs" vbProcedure="false">Reference!$B$26</definedName>
    <definedName function="false" hidden="false" name="HCCrew" vbProcedure="false">Reference!$B$56</definedName>
    <definedName function="false" hidden="false" name="HCWk" vbProcedure="false">Estimate!$C$15</definedName>
    <definedName function="false" hidden="false" name="HrsPage" vbProcedure="false">Reference!$B$12:$E$12</definedName>
    <definedName function="false" hidden="false" name="HrsWk" vbProcedure="false">Reference!$B$6</definedName>
    <definedName function="false" hidden="false" name="IncAI" vbProcedure="false">Estimate!$C$14</definedName>
    <definedName function="false" hidden="false" name="IncPM" vbProcedure="false">Estimate!$C$13</definedName>
    <definedName function="false" hidden="false" name="InvPages" vbProcedure="false">Estimate!$T$44</definedName>
    <definedName function="false" hidden="false" name="KnownFactor" vbProcedure="false">Reference!$O$6:$O$35</definedName>
    <definedName function="false" hidden="false" name="KnownKey" vbProcedure="false">Reference!$P$6:$P$35</definedName>
    <definedName function="false" hidden="false" name="LearnAvg" vbProcedure="false">Reference!$B$17</definedName>
    <definedName function="false" hidden="false" name="ModelHrs" vbProcedure="false">Reference!$B$23:$E$23</definedName>
    <definedName function="false" hidden="false" name="ModelLevels" vbProcedure="false">Reference!$B$24:$E$24</definedName>
    <definedName function="false" hidden="false" name="Models" vbProcedure="false">Estimate!$T$46</definedName>
    <definedName function="false" hidden="false" name="ModHrs" vbProcedure="false">Estimate!$Q$25</definedName>
    <definedName function="false" hidden="false" name="Opportunity" vbProcedure="false">Estimate!$C$6</definedName>
    <definedName function="false" hidden="false" name="PagesBuilt" vbProcedure="false">Estimate!$T$45</definedName>
    <definedName function="false" hidden="false" name="PagesPerSprint" vbProcedure="false">Estimate!$T$54</definedName>
    <definedName function="false" hidden="false" name="PeakTeam" vbProcedure="false">Plan!$B$27</definedName>
    <definedName function="false" hidden="false" name="PhFTE" vbProcedure="false">Estimate!$E$30:$E$36</definedName>
    <definedName function="false" hidden="false" name="PhHours" vbProcedure="false">Estimate!$F$30:$F$36</definedName>
    <definedName function="false" hidden="false" name="PhStart" vbProcedure="false">Estimate!$C$30:$C$36</definedName>
    <definedName function="false" hidden="false" name="PhWeeks" vbProcedure="false">Estimate!$D$30:$D$36</definedName>
    <definedName function="false" hidden="false" name="PlanCost" vbProcedure="false">Plan!$BE$24</definedName>
    <definedName function="false" hidden="false" name="PlanHeadcount" vbProcedure="false">Plan!$C$24:$BB$24</definedName>
    <definedName function="false" hidden="false" name="PlanHrs" vbProcedure="false">Plan!$BD$24</definedName>
    <definedName function="false" hidden="false" name="PlanPW" vbProcedure="false">Plan!$BC$24</definedName>
    <definedName function="false" hidden="false" name="PlanRates" vbProcedure="false">Plan!$B$18:$B$23</definedName>
    <definedName function="false" hidden="false" name="PlanWeeks" vbProcedure="false">Estimate!$T$50</definedName>
    <definedName function="false" hidden="false" name="ProfileMix" vbProcedure="false">Reference!$B$13:$E$15</definedName>
    <definedName function="false" hidden="false" name="ProfileNames" vbProcedure="false">Reference!$A$13:$A$16</definedName>
    <definedName function="false" hidden="false" name="RangeHigh" vbProcedure="false">Reference!$B$8</definedName>
    <definedName function="false" hidden="false" name="RangeLow" vbProcedure="false">Reference!$B$7</definedName>
    <definedName function="false" hidden="false" name="RateKeys" vbProcedure="false">Reference!$L$58:$L$81</definedName>
    <definedName function="false" hidden="false" name="RateVals" vbProcedure="false">Reference!$K$58:$K$81</definedName>
    <definedName function="false" hidden="false" name="RepHrs" vbProcedure="false">Estimate!$P$25</definedName>
    <definedName function="false" hidden="false" name="RoleMix" vbProcedure="false">Reference!$B$61:$G$67</definedName>
    <definedName function="false" hidden="false" name="RoleMixTotals" vbProcedure="false">Reference!$H$61:$H$67</definedName>
    <definedName function="false" hidden="false" name="SecPerModel" vbProcedure="false">Reference!$B$27</definedName>
    <definedName function="false" hidden="false" name="SITPct" vbProcedure="false">Reference!$B$49</definedName>
    <definedName function="false" hidden="false" name="SprintLen" vbProcedure="false">Estimate!$C$8</definedName>
    <definedName function="false" hidden="false" name="SprintLens" vbProcedure="false">Reference!$S$6:$S$7</definedName>
    <definedName function="false" hidden="false" name="Sprints" vbProcedure="false">Estimate!$T$51</definedName>
    <definedName function="false" hidden="false" name="StartDate" vbProcedure="false">Estimate!$C$7</definedName>
    <definedName function="false" hidden="false" name="TargetTools" vbProcedure="false">Estimate!$T$47</definedName>
    <definedName function="false" hidden="false" name="ToolArch" vbProcedure="false">Reference!$J$6:$J$35</definedName>
    <definedName function="false" hidden="false" name="ToolNames" vbProcedure="false">Reference!$I$6:$I$35</definedName>
    <definedName function="false" hidden="false" name="UATEnd" vbProcedure="false">Estimate!$T$55</definedName>
    <definedName function="false" hidden="false" name="UATHigh" vbProcedure="false">Reference!$B$51</definedName>
    <definedName function="false" hidden="false" name="UATLow" vbProcedure="false">Reference!$B$50</definedName>
    <definedName function="false" hidden="false" name="UATThreshold" vbProcedure="false">Reference!$B$52</definedName>
    <definedName function="false" hidden="false" name="UATWk" vbProcedure="false">Reference!$B$53</definedName>
    <definedName function="false" hidden="false" name="YesNo" vbProcedure="false">Reference!$R$6:$R$7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8" authorId="0">
      <text>
        <r>
          <rPr>
            <sz val="10"/>
            <rFont val="Arial"/>
            <family val="2"/>
          </rPr>
          <t xml:space="preserve">1 or 2 weeks. SIT and UAT follow each sprint.</t>
        </r>
      </text>
    </comment>
    <comment ref="C9" authorId="0">
      <text>
        <r>
          <rPr>
            <sz val="10"/>
            <rFont val="Arial"/>
            <family val="2"/>
          </rPr>
          <t xml:space="preserve">Engineers building models and reports at peak.</t>
        </r>
      </text>
    </comment>
    <comment ref="C11" authorId="0">
      <text>
        <r>
          <rPr>
            <sz val="10"/>
            <rFont val="Arial"/>
            <family val="2"/>
          </rPr>
          <t xml:space="preserve">Applied to every phase, capped per phase on Reference.</t>
        </r>
      </text>
    </comment>
    <comment ref="C14" authorId="0">
      <text>
        <r>
          <rPr>
            <sz val="10"/>
            <rFont val="Arial"/>
            <family val="2"/>
          </rPr>
          <t xml:space="preserve">Copilot / Q&amp;A / Amazon Q / Gemini readiness per semantic model.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8" authorId="0">
      <text>
        <r>
          <rPr>
            <sz val="10"/>
            <rFont val="Arial"/>
            <family val="2"/>
          </rPr>
          <t xml:space="preserve">Priced as Architect II | G11 | India from the Reference rate card. Overwrite to use another rate.</t>
        </r>
      </text>
    </comment>
    <comment ref="B19" authorId="0">
      <text>
        <r>
          <rPr>
            <sz val="10"/>
            <rFont val="Arial"/>
            <family val="2"/>
          </rPr>
          <t xml:space="preserve">Priced as Lead II | G11 | India from the Reference rate card. Overwrite to use another rate.</t>
        </r>
      </text>
    </comment>
    <comment ref="B20" authorId="0">
      <text>
        <r>
          <rPr>
            <sz val="10"/>
            <rFont val="Arial"/>
            <family val="2"/>
          </rPr>
          <t xml:space="preserve">Priced as Sr. Engineer II | G10 | India from the Reference rate card. Overwrite to use another rate.</t>
        </r>
      </text>
    </comment>
    <comment ref="B21" authorId="0">
      <text>
        <r>
          <rPr>
            <sz val="10"/>
            <rFont val="Arial"/>
            <family val="2"/>
          </rPr>
          <t xml:space="preserve">Priced as Engineer II | G8 | India from the Reference rate card. Overwrite to use another rate.</t>
        </r>
      </text>
    </comment>
    <comment ref="B22" authorId="0">
      <text>
        <r>
          <rPr>
            <sz val="10"/>
            <rFont val="Arial"/>
            <family val="2"/>
          </rPr>
          <t xml:space="preserve">Priced as Sr. Engineer I | G9 | India from the Reference rate card. Overwrite to use another rate.</t>
        </r>
      </text>
    </comment>
    <comment ref="B23" authorId="0">
      <text>
        <r>
          <rPr>
            <sz val="10"/>
            <rFont val="Arial"/>
            <family val="2"/>
          </rPr>
          <t xml:space="preserve">Priced as MSE I | G12 | India from the Reference rate card. Overwrite to use another rate.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Expected price x (1 + this)</t>
        </r>
      </text>
    </comment>
    <comment ref="B8" authorId="0">
      <text>
        <r>
          <rPr>
            <sz val="10"/>
            <rFont val="Arial"/>
            <family val="2"/>
          </rPr>
          <t xml:space="preserve">Expected price x (1 + this)</t>
        </r>
      </text>
    </comment>
    <comment ref="B18" authorId="0">
      <text>
        <r>
          <rPr>
            <sz val="10"/>
            <rFont val="Arial"/>
            <family val="2"/>
          </rPr>
          <t xml:space="preserve">Custom SQL re-pointing; ~25% uplift on ~20% of reports</t>
        </r>
      </text>
    </comment>
  </commentList>
</comments>
</file>

<file path=xl/sharedStrings.xml><?xml version="1.0" encoding="utf-8"?>
<sst xmlns="http://schemas.openxmlformats.org/spreadsheetml/2006/main" count="477" uniqueCount="294">
  <si>
    <t xml:space="preserve">BI Migration - Pre-sales Ballpark Estimate</t>
  </si>
  <si>
    <t xml:space="preserve">Fill the yellow cells. Results update instantly. For a quotable fixed price use the full v2 estimator.</t>
  </si>
  <si>
    <t xml:space="preserve">1. Project settings</t>
  </si>
  <si>
    <t xml:space="preserve">Results</t>
  </si>
  <si>
    <t xml:space="preserve">Client</t>
  </si>
  <si>
    <t xml:space="preserve">Example Client</t>
  </si>
  <si>
    <t xml:space="preserve">Expected price</t>
  </si>
  <si>
    <t xml:space="preserve">Opportunity</t>
  </si>
  <si>
    <t xml:space="preserve">BI modernisation</t>
  </si>
  <si>
    <t xml:space="preserve">Ballpark range</t>
  </si>
  <si>
    <t xml:space="preserve">Planned start date (Monday)</t>
  </si>
  <si>
    <t xml:space="preserve">Total effort (hours)</t>
  </si>
  <si>
    <t xml:space="preserve">Sprint length (weeks)</t>
  </si>
  <si>
    <t xml:space="preserve">Duration (weeks)</t>
  </si>
  <si>
    <t xml:space="preserve">Development team (engineers)</t>
  </si>
  <si>
    <t xml:space="preserve">Sprints</t>
  </si>
  <si>
    <t xml:space="preserve">Assessment team (FTE)</t>
  </si>
  <si>
    <t xml:space="preserve">Peak team (FTE)</t>
  </si>
  <si>
    <t xml:space="preserve">Automation % (LeapLogic / accelerators)</t>
  </si>
  <si>
    <t xml:space="preserve">Average team (FTE)</t>
  </si>
  <si>
    <t xml:space="preserve">Contingency %</t>
  </si>
  <si>
    <t xml:space="preserve">Blended rate (USD/h)</t>
  </si>
  <si>
    <t xml:space="preserve">Include project manager?</t>
  </si>
  <si>
    <t xml:space="preserve">Yes</t>
  </si>
  <si>
    <t xml:space="preserve">Planned end date</t>
  </si>
  <si>
    <t xml:space="preserve">Include AI readiness?</t>
  </si>
  <si>
    <t xml:space="preserve">No</t>
  </si>
  <si>
    <t xml:space="preserve">Status</t>
  </si>
  <si>
    <t xml:space="preserve">Hypercare weeks after go-live</t>
  </si>
  <si>
    <t xml:space="preserve">2. Scope - one row per source -&gt; target pair (most deals need one row)</t>
  </si>
  <si>
    <t xml:space="preserve">Workings (expand the + above column R to see)</t>
  </si>
  <si>
    <t xml:space="preserve">Source BI tool</t>
  </si>
  <si>
    <t xml:space="preserve">Target BI tool</t>
  </si>
  <si>
    <t xml:space="preserve">Data platform changing?</t>
  </si>
  <si>
    <t xml:space="preserve">Reports</t>
  </si>
  <si>
    <t xml:space="preserve">Avg pages per report</t>
  </si>
  <si>
    <t xml:space="preserve">Complexity profile</t>
  </si>
  <si>
    <t xml:space="preserve">% Simple</t>
  </si>
  <si>
    <t xml:space="preserve">% Medium</t>
  </si>
  <si>
    <t xml:space="preserve">% Complex</t>
  </si>
  <si>
    <t xml:space="preserve">% Very complex</t>
  </si>
  <si>
    <t xml:space="preserve">% retired / duplicates</t>
  </si>
  <si>
    <t xml:space="preserve">Semantic models (target)</t>
  </si>
  <si>
    <t xml:space="preserve">Model complexity</t>
  </si>
  <si>
    <t xml:space="preserve">Pair factor</t>
  </si>
  <si>
    <t xml:space="preserve">Report hours</t>
  </si>
  <si>
    <t xml:space="preserve">Model hours</t>
  </si>
  <si>
    <t xml:space="preserve">Active</t>
  </si>
  <si>
    <t xml:space="preserve">Mix S</t>
  </si>
  <si>
    <t xml:space="preserve">Mix M</t>
  </si>
  <si>
    <t xml:space="preserve">Mix C</t>
  </si>
  <si>
    <t xml:space="preserve">Mix VC</t>
  </si>
  <si>
    <t xml:space="preserve">Src archetype</t>
  </si>
  <si>
    <t xml:space="preserve">Tgt archetype</t>
  </si>
  <si>
    <t xml:space="preserve">Approach share</t>
  </si>
  <si>
    <t xml:space="preserve">Inventory pages</t>
  </si>
  <si>
    <t xml:space="preserve">Pages to build</t>
  </si>
  <si>
    <t xml:space="preserve">Analysis h</t>
  </si>
  <si>
    <t xml:space="preserve">Mix flag</t>
  </si>
  <si>
    <t xml:space="preserve">Platform change</t>
  </si>
  <si>
    <t xml:space="preserve">OBIEE</t>
  </si>
  <si>
    <t xml:space="preserve">Power BI</t>
  </si>
  <si>
    <t xml:space="preserve">Balanced</t>
  </si>
  <si>
    <t xml:space="preserve">Medium</t>
  </si>
  <si>
    <t xml:space="preserve">% columns are used only when the profile is Custom. A new BI tool must be added on Reference with its archetype.</t>
  </si>
  <si>
    <t xml:space="preserve">Total</t>
  </si>
  <si>
    <t xml:space="preserve">3. Effort and cost by phase</t>
  </si>
  <si>
    <t xml:space="preserve">Phase</t>
  </si>
  <si>
    <t xml:space="preserve">Start week</t>
  </si>
  <si>
    <t xml:space="preserve">Weeks</t>
  </si>
  <si>
    <t xml:space="preserve">Avg FTE</t>
  </si>
  <si>
    <t xml:space="preserve">Hours</t>
  </si>
  <si>
    <t xml:space="preserve">Cost (USD)</t>
  </si>
  <si>
    <t xml:space="preserve">Basis</t>
  </si>
  <si>
    <t xml:space="preserve">Plan (assessment &amp; design)</t>
  </si>
  <si>
    <t xml:space="preserve">Initiation + analysis (interpolated) + architecture</t>
  </si>
  <si>
    <t xml:space="preserve">Data model &amp; report dev</t>
  </si>
  <si>
    <t xml:space="preserve">Models + reports + security/handover, paced in sprints</t>
  </si>
  <si>
    <t xml:space="preserve">Testing &amp; validation (SIT)</t>
  </si>
  <si>
    <t xml:space="preserve">One sprint behind development</t>
  </si>
  <si>
    <t xml:space="preserve">UAT support</t>
  </si>
  <si>
    <t xml:space="preserve">Two sprints behind; 1-2 engineers by volume</t>
  </si>
  <si>
    <t xml:space="preserve">Prod deployment</t>
  </si>
  <si>
    <t xml:space="preserve">Deployment support each sprint</t>
  </si>
  <si>
    <t xml:space="preserve">Hypercare / parallel run</t>
  </si>
  <si>
    <t xml:space="preserve">After final go-live</t>
  </si>
  <si>
    <t xml:space="preserve">Project management</t>
  </si>
  <si>
    <t xml:space="preserve">Whole duration</t>
  </si>
  <si>
    <t xml:space="preserve">Total (from phases)</t>
  </si>
  <si>
    <t xml:space="preserve">Team cost (from Plan grid)</t>
  </si>
  <si>
    <t xml:space="preserve">Contingency</t>
  </si>
  <si>
    <t xml:space="preserve">EXPECTED PRICE</t>
  </si>
  <si>
    <t xml:space="preserve">Phase workings</t>
  </si>
  <si>
    <t xml:space="preserve">4. Checks</t>
  </si>
  <si>
    <t xml:space="preserve">ActivePairs</t>
  </si>
  <si>
    <t xml:space="preserve">At least one scope row filled in</t>
  </si>
  <si>
    <t xml:space="preserve">InvPages</t>
  </si>
  <si>
    <t xml:space="preserve">Mixes total 100% and every BI tool is known</t>
  </si>
  <si>
    <t xml:space="preserve">PagesBuilt</t>
  </si>
  <si>
    <t xml:space="preserve">Role mix rows total 100% (Reference)</t>
  </si>
  <si>
    <t xml:space="preserve">Models</t>
  </si>
  <si>
    <t xml:space="preserve">Duration fits the 52-week plan</t>
  </si>
  <si>
    <t xml:space="preserve">TargetTools</t>
  </si>
  <si>
    <t xml:space="preserve">Plan grid matches the phase estimate (within 5%)</t>
  </si>
  <si>
    <t xml:space="preserve">AssessHrs</t>
  </si>
  <si>
    <t xml:space="preserve">DevHrs</t>
  </si>
  <si>
    <t xml:space="preserve">PlanWeeks</t>
  </si>
  <si>
    <t xml:space="preserve">DevWeeks</t>
  </si>
  <si>
    <t xml:space="preserve">DevStart</t>
  </si>
  <si>
    <t xml:space="preserve">PagesPerSprint</t>
  </si>
  <si>
    <t xml:space="preserve">UATEnd</t>
  </si>
  <si>
    <t xml:space="preserve">DurWeeks</t>
  </si>
  <si>
    <t xml:space="preserve">CheckFails</t>
  </si>
  <si>
    <t xml:space="preserve">Phase bars show FTE per week. Team rows are pre-filled from the phases - overwrite any yellow cell to hand-plan; cost follows the grid.</t>
  </si>
  <si>
    <t xml:space="preserve">Sprint</t>
  </si>
  <si>
    <t xml:space="preserve">Week</t>
  </si>
  <si>
    <t xml:space="preserve">Wk1</t>
  </si>
  <si>
    <t xml:space="preserve">Wk2</t>
  </si>
  <si>
    <t xml:space="preserve">Wk3</t>
  </si>
  <si>
    <t xml:space="preserve">Wk4</t>
  </si>
  <si>
    <t xml:space="preserve">Wk5</t>
  </si>
  <si>
    <t xml:space="preserve">Wk6</t>
  </si>
  <si>
    <t xml:space="preserve">Wk7</t>
  </si>
  <si>
    <t xml:space="preserve">Wk8</t>
  </si>
  <si>
    <t xml:space="preserve">Wk9</t>
  </si>
  <si>
    <t xml:space="preserve">Wk10</t>
  </si>
  <si>
    <t xml:space="preserve">Wk11</t>
  </si>
  <si>
    <t xml:space="preserve">Wk12</t>
  </si>
  <si>
    <t xml:space="preserve">Wk13</t>
  </si>
  <si>
    <t xml:space="preserve">Wk14</t>
  </si>
  <si>
    <t xml:space="preserve">Wk15</t>
  </si>
  <si>
    <t xml:space="preserve">Wk16</t>
  </si>
  <si>
    <t xml:space="preserve">Wk17</t>
  </si>
  <si>
    <t xml:space="preserve">Wk18</t>
  </si>
  <si>
    <t xml:space="preserve">Wk19</t>
  </si>
  <si>
    <t xml:space="preserve">Wk20</t>
  </si>
  <si>
    <t xml:space="preserve">Wk21</t>
  </si>
  <si>
    <t xml:space="preserve">Wk22</t>
  </si>
  <si>
    <t xml:space="preserve">Wk23</t>
  </si>
  <si>
    <t xml:space="preserve">Wk24</t>
  </si>
  <si>
    <t xml:space="preserve">Wk25</t>
  </si>
  <si>
    <t xml:space="preserve">Wk26</t>
  </si>
  <si>
    <t xml:space="preserve">Wk27</t>
  </si>
  <si>
    <t xml:space="preserve">Wk28</t>
  </si>
  <si>
    <t xml:space="preserve">Wk29</t>
  </si>
  <si>
    <t xml:space="preserve">Wk30</t>
  </si>
  <si>
    <t xml:space="preserve">Wk31</t>
  </si>
  <si>
    <t xml:space="preserve">Wk32</t>
  </si>
  <si>
    <t xml:space="preserve">Wk33</t>
  </si>
  <si>
    <t xml:space="preserve">Wk34</t>
  </si>
  <si>
    <t xml:space="preserve">Wk35</t>
  </si>
  <si>
    <t xml:space="preserve">Wk36</t>
  </si>
  <si>
    <t xml:space="preserve">Wk37</t>
  </si>
  <si>
    <t xml:space="preserve">Wk38</t>
  </si>
  <si>
    <t xml:space="preserve">Wk39</t>
  </si>
  <si>
    <t xml:space="preserve">Wk40</t>
  </si>
  <si>
    <t xml:space="preserve">Wk41</t>
  </si>
  <si>
    <t xml:space="preserve">Wk42</t>
  </si>
  <si>
    <t xml:space="preserve">Wk43</t>
  </si>
  <si>
    <t xml:space="preserve">Wk44</t>
  </si>
  <si>
    <t xml:space="preserve">Wk45</t>
  </si>
  <si>
    <t xml:space="preserve">Wk46</t>
  </si>
  <si>
    <t xml:space="preserve">Wk47</t>
  </si>
  <si>
    <t xml:space="preserve">Wk48</t>
  </si>
  <si>
    <t xml:space="preserve">Wk49</t>
  </si>
  <si>
    <t xml:space="preserve">Wk50</t>
  </si>
  <si>
    <t xml:space="preserve">Wk51</t>
  </si>
  <si>
    <t xml:space="preserve">Wk52</t>
  </si>
  <si>
    <t xml:space="preserve">Week starting</t>
  </si>
  <si>
    <t xml:space="preserve">Phases (FTE per week)</t>
  </si>
  <si>
    <t xml:space="preserve">Total FTE</t>
  </si>
  <si>
    <t xml:space="preserve">Team</t>
  </si>
  <si>
    <t xml:space="preserve">Rate (USD/h)</t>
  </si>
  <si>
    <t xml:space="preserve">Person-weeks</t>
  </si>
  <si>
    <t xml:space="preserve">BI Architect</t>
  </si>
  <si>
    <t xml:space="preserve">Lead BI Engineer</t>
  </si>
  <si>
    <t xml:space="preserve">Sr BI Engineer</t>
  </si>
  <si>
    <t xml:space="preserve">BI Engineer</t>
  </si>
  <si>
    <t xml:space="preserve">QA Engineer</t>
  </si>
  <si>
    <t xml:space="preserve">PM</t>
  </si>
  <si>
    <t xml:space="preserve">Total team</t>
  </si>
  <si>
    <t xml:space="preserve">Hrs per week</t>
  </si>
  <si>
    <t xml:space="preserve">Plan hours vs phase estimate</t>
  </si>
  <si>
    <t xml:space="preserve">Reference</t>
  </si>
  <si>
    <t xml:space="preserve">Numbers behind the ballpark. Same baseline as the full v2 estimator. Change only with BI-team sign-off.</t>
  </si>
  <si>
    <t xml:space="preserve">BI tools</t>
  </si>
  <si>
    <t xml:space="preserve">Known pair factors</t>
  </si>
  <si>
    <t xml:space="preserve">General</t>
  </si>
  <si>
    <t xml:space="preserve">BI tool</t>
  </si>
  <si>
    <t xml:space="preserve">Archetype</t>
  </si>
  <si>
    <t xml:space="preserve">Source</t>
  </si>
  <si>
    <t xml:space="preserve">Target</t>
  </si>
  <si>
    <t xml:space="preserve">Factor</t>
  </si>
  <si>
    <t xml:space="preserve">Key</t>
  </si>
  <si>
    <t xml:space="preserve">YesNo</t>
  </si>
  <si>
    <t xml:space="preserve">SprintLens</t>
  </si>
  <si>
    <t xml:space="preserve">Productive hours per person-week</t>
  </si>
  <si>
    <t xml:space="preserve">SAP BusinessObjects</t>
  </si>
  <si>
    <t xml:space="preserve">Enterprise semantic-layer</t>
  </si>
  <si>
    <t xml:space="preserve">Ballpark range - low side</t>
  </si>
  <si>
    <t xml:space="preserve">Cognos</t>
  </si>
  <si>
    <t xml:space="preserve">Ballpark range - high side</t>
  </si>
  <si>
    <t xml:space="preserve">Oracle Analytics Server</t>
  </si>
  <si>
    <t xml:space="preserve">MicroStrategy</t>
  </si>
  <si>
    <t xml:space="preserve">Tableau</t>
  </si>
  <si>
    <t xml:space="preserve">Report effort (hours per page)</t>
  </si>
  <si>
    <t xml:space="preserve">SSRS</t>
  </si>
  <si>
    <t xml:space="preserve">Paginated / pixel-perfect</t>
  </si>
  <si>
    <t xml:space="preserve">QuickSight</t>
  </si>
  <si>
    <t xml:space="preserve">Hours per report page</t>
  </si>
  <si>
    <t xml:space="preserve">Crystal Reports</t>
  </si>
  <si>
    <t xml:space="preserve">Mostly simple</t>
  </si>
  <si>
    <t xml:space="preserve">Modern visual / self-service</t>
  </si>
  <si>
    <t xml:space="preserve">Mostly complex</t>
  </si>
  <si>
    <t xml:space="preserve">Custom</t>
  </si>
  <si>
    <t xml:space="preserve">enter on Estimate</t>
  </si>
  <si>
    <t xml:space="preserve">Qlik Sense</t>
  </si>
  <si>
    <t xml:space="preserve">Looker</t>
  </si>
  <si>
    <t xml:space="preserve">Average learning gain (0/10/15/20% by quarter of sprints)</t>
  </si>
  <si>
    <t xml:space="preserve">QlikView</t>
  </si>
  <si>
    <t xml:space="preserve">Data platform change uplift - reports</t>
  </si>
  <si>
    <t xml:space="preserve">Looker Studio</t>
  </si>
  <si>
    <t xml:space="preserve">Data platform change uplift - semantic models</t>
  </si>
  <si>
    <t xml:space="preserve">Modern code-based semantic</t>
  </si>
  <si>
    <t xml:space="preserve">Semantic models (hours per target model)</t>
  </si>
  <si>
    <t xml:space="preserve">Simple</t>
  </si>
  <si>
    <t xml:space="preserve">Complex</t>
  </si>
  <si>
    <t xml:space="preserve">Very complex</t>
  </si>
  <si>
    <t xml:space="preserve">Build hours per model</t>
  </si>
  <si>
    <t xml:space="preserve">Level names</t>
  </si>
  <si>
    <t xml:space="preserve">AI readiness hours per model (when included)</t>
  </si>
  <si>
    <t xml:space="preserve">Security, ops &amp; handover - hours per pair</t>
  </si>
  <si>
    <t xml:space="preserve">Security, ops &amp; handover - hours per model</t>
  </si>
  <si>
    <t xml:space="preserve">Assessment and architecture</t>
  </si>
  <si>
    <t xml:space="preserve">Anchor (inventory pages)</t>
  </si>
  <si>
    <t xml:space="preserve">Pages</t>
  </si>
  <si>
    <t xml:space="preserve">Initiation h</t>
  </si>
  <si>
    <t xml:space="preserve">Anchor 1</t>
  </si>
  <si>
    <t xml:space="preserve">Anchor 2</t>
  </si>
  <si>
    <t xml:space="preserve">Anchor 3</t>
  </si>
  <si>
    <t xml:space="preserve">Anchor 4</t>
  </si>
  <si>
    <t xml:space="preserve">Anchor 5</t>
  </si>
  <si>
    <t xml:space="preserve">Assessment hours per semantic model</t>
  </si>
  <si>
    <t xml:space="preserve">Architecture hours per target BI tool</t>
  </si>
  <si>
    <t xml:space="preserve">Architecture hours per pair</t>
  </si>
  <si>
    <t xml:space="preserve">Pair factor fallback (source row x target column)</t>
  </si>
  <si>
    <t xml:space="preserve">Source \ Target</t>
  </si>
  <si>
    <t xml:space="preserve">Automation caps (share of a phase automation can remove)</t>
  </si>
  <si>
    <t xml:space="preserve">Cap - Assessment</t>
  </si>
  <si>
    <t xml:space="preserve">Cap - Semantic model</t>
  </si>
  <si>
    <t xml:space="preserve">Cap - Report development</t>
  </si>
  <si>
    <t xml:space="preserve">Cap - SIT</t>
  </si>
  <si>
    <t xml:space="preserve">Cap - UAT support</t>
  </si>
  <si>
    <t xml:space="preserve">Cap - Deployment</t>
  </si>
  <si>
    <t xml:space="preserve">Semantic-model approach share (source row x target column)</t>
  </si>
  <si>
    <t xml:space="preserve">Testing, UAT, deployment, hypercare (per sprint)</t>
  </si>
  <si>
    <t xml:space="preserve">SIT crew sizing (% of dev hours)</t>
  </si>
  <si>
    <t xml:space="preserve">UAT support engineers when pages per sprint &lt;= threshold</t>
  </si>
  <si>
    <t xml:space="preserve">UAT support engineers above threshold</t>
  </si>
  <si>
    <t xml:space="preserve">Volume threshold (report pages per sprint)</t>
  </si>
  <si>
    <t xml:space="preserve">100% = redesign / author LookML; 40% = translate dataset; 30% = shared datasets for paginated reports.</t>
  </si>
  <si>
    <t xml:space="preserve">UAT support weeks per sprint</t>
  </si>
  <si>
    <t xml:space="preserve">Deployment engineers</t>
  </si>
  <si>
    <t xml:space="preserve">Deployment weeks per sprint</t>
  </si>
  <si>
    <t xml:space="preserve">Hypercare crew (FTE)</t>
  </si>
  <si>
    <t xml:space="preserve">Rate card (bill rates, USD/h)</t>
  </si>
  <si>
    <t xml:space="preserve">Role</t>
  </si>
  <si>
    <t xml:space="preserve">Grade | Location</t>
  </si>
  <si>
    <t xml:space="preserve">Rate</t>
  </si>
  <si>
    <t xml:space="preserve">MSE II</t>
  </si>
  <si>
    <t xml:space="preserve">G13 | India</t>
  </si>
  <si>
    <t xml:space="preserve">Role mix by phase (each row totals 100%)</t>
  </si>
  <si>
    <t xml:space="preserve">MSE I</t>
  </si>
  <si>
    <t xml:space="preserve">G12 | India</t>
  </si>
  <si>
    <t xml:space="preserve">Architect II</t>
  </si>
  <si>
    <t xml:space="preserve">Architect I</t>
  </si>
  <si>
    <t xml:space="preserve">G11 | India</t>
  </si>
  <si>
    <t xml:space="preserve">Lead II</t>
  </si>
  <si>
    <t xml:space="preserve">G10 | India</t>
  </si>
  <si>
    <t xml:space="preserve">Lead I</t>
  </si>
  <si>
    <t xml:space="preserve">G9 | India</t>
  </si>
  <si>
    <t xml:space="preserve">Sr. Engineer II</t>
  </si>
  <si>
    <t xml:space="preserve">Sr. Engineer I</t>
  </si>
  <si>
    <t xml:space="preserve">G8 | India</t>
  </si>
  <si>
    <t xml:space="preserve">Engineer II</t>
  </si>
  <si>
    <t xml:space="preserve">G6 | India</t>
  </si>
  <si>
    <t xml:space="preserve">Engineer I</t>
  </si>
  <si>
    <t xml:space="preserve">G4 | India</t>
  </si>
  <si>
    <t xml:space="preserve">Jr. Engineer</t>
  </si>
  <si>
    <t xml:space="preserve">Sr. Architect I</t>
  </si>
  <si>
    <t xml:space="preserve">Sr. Architect II</t>
  </si>
  <si>
    <t xml:space="preserve">G14 | India</t>
  </si>
  <si>
    <t xml:space="preserve">G12 | USA</t>
  </si>
  <si>
    <t xml:space="preserve">G13 | USA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</si>
</sst>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\$#,##0;&quot;($&quot;#,##0\);\-"/>
    <numFmt numFmtId="166" formatCode="dd\-mmm\-yyyy"/>
    <numFmt numFmtId="167" formatCode="#,##0;\(#,##0\);\-"/>
    <numFmt numFmtId="168" formatCode="#,##0.0;\(#,##0.0\);\-"/>
    <numFmt numFmtId="169" formatCode="0%;\(0%\);\-"/>
    <numFmt numFmtId="170" formatCode="\$#,##0.00;&quot;($&quot;#,##0.00\);\-"/>
    <numFmt numFmtId="171" formatCode="0.0"/>
    <numFmt numFmtId="172" formatCode="0.00\x"/>
    <numFmt numFmtId="173" formatCode="General"/>
    <numFmt numFmtId="174" formatCode="0"/>
    <numFmt numFmtId="175" formatCode="dd\-mmm"/>
    <numFmt numFmtId="176" formatCode="0.0;\-0.0;&quot;&quot;"/>
    <numFmt numFmtId="177" formatCode="0.0%;\(0.0%\);\-"/>
    <numFmt numFmtId="178" formatCode="0.00"/>
    <numFmt numFmtId="179" formatCode="0.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sz val="8"/>
      <color rgb="FF595959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FFF2CC"/>
        <bgColor rgb="FFFFFBE6"/>
      </patternFill>
    </fill>
    <fill>
      <patternFill patternType="solid">
        <fgColor rgb="FFF2F2F2"/>
        <bgColor rgb="FFFFFBE6"/>
      </patternFill>
    </fill>
    <fill>
      <patternFill patternType="solid">
        <fgColor rgb="FF1F3864"/>
        <bgColor rgb="FF333333"/>
      </patternFill>
    </fill>
    <fill>
      <patternFill patternType="solid">
        <fgColor rgb="FFFFF59D"/>
        <bgColor rgb="FFFFF2CC"/>
      </patternFill>
    </fill>
    <fill>
      <patternFill patternType="solid">
        <fgColor rgb="FFBDD7EE"/>
        <bgColor rgb="FFD9D9D9"/>
      </patternFill>
    </fill>
    <fill>
      <patternFill patternType="solid">
        <fgColor rgb="FFF8CBAD"/>
        <bgColor rgb="FFFFC7CE"/>
      </patternFill>
    </fill>
    <fill>
      <patternFill patternType="solid">
        <fgColor rgb="FFF4B183"/>
        <bgColor rgb="FFF8CBAD"/>
      </patternFill>
    </fill>
    <fill>
      <patternFill patternType="solid">
        <fgColor rgb="FFC6E0B4"/>
        <bgColor rgb="FFC6EFCE"/>
      </patternFill>
    </fill>
    <fill>
      <patternFill patternType="solid">
        <fgColor rgb="FFA9D08E"/>
        <bgColor rgb="FFC6E0B4"/>
      </patternFill>
    </fill>
    <fill>
      <patternFill patternType="solid">
        <fgColor rgb="FFD9D9D9"/>
        <bgColor rgb="FFD9E1F2"/>
      </patternFill>
    </fill>
    <fill>
      <patternFill patternType="solid">
        <fgColor rgb="FFFFFBE6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10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9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0" fontId="10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1" fontId="9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2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6" fontId="9" fillId="13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9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9" fontId="9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7" fontId="9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F59D"/>
        </patternFill>
      </fill>
    </dxf>
    <dxf>
      <fill>
        <patternFill>
          <bgColor rgb="FFBDD7EE"/>
        </patternFill>
      </fill>
    </dxf>
    <dxf>
      <fill>
        <patternFill>
          <bgColor rgb="FFF8CBAD"/>
        </patternFill>
      </fill>
    </dxf>
    <dxf>
      <fill>
        <patternFill>
          <bgColor rgb="FFF4B183"/>
        </patternFill>
      </fill>
    </dxf>
    <dxf>
      <fill>
        <patternFill>
          <bgColor rgb="FFC6E0B4"/>
        </patternFill>
      </fill>
    </dxf>
    <dxf>
      <fill>
        <patternFill>
          <bgColor rgb="FFA9D08E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2CC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D9D9D9"/>
      <rgbColor rgb="FF993366"/>
      <rgbColor rgb="FFFFFBE6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F59D"/>
      <rgbColor rgb="FFC6E0B4"/>
      <rgbColor rgb="FFF4B183"/>
      <rgbColor rgb="FFFFC7CE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A9D08E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E5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7" min="7" style="0" width="16"/>
    <col collapsed="false" customWidth="true" hidden="false" outlineLevel="0" max="10" min="8" style="0" width="10"/>
    <col collapsed="false" customWidth="true" hidden="false" outlineLevel="0" max="11" min="11" style="0" width="14"/>
    <col collapsed="false" customWidth="true" hidden="false" outlineLevel="0" max="13" min="12" style="0" width="11"/>
    <col collapsed="false" customWidth="true" hidden="false" outlineLevel="0" max="14" min="14" style="0" width="14"/>
    <col collapsed="false" customWidth="true" hidden="false" outlineLevel="0" max="15" min="15" style="0" width="10"/>
    <col collapsed="false" customWidth="true" hidden="false" outlineLevel="0" max="17" min="16" style="0" width="12"/>
    <col collapsed="false" customWidth="true" hidden="false" outlineLevel="0" max="18" min="18" style="0" width="3"/>
    <col collapsed="false" customWidth="true" hidden="true" outlineLevel="1" max="31" min="19" style="0" width="12"/>
  </cols>
  <sheetData>
    <row r="1" customFormat="false" ht="19.7" hidden="false" customHeight="false" outlineLevel="0" collapsed="false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customFormat="false" ht="15" hidden="false" customHeight="false" outlineLevel="0" collapsed="false">
      <c r="A2" s="1"/>
      <c r="B2" s="3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customFormat="false" ht="15" hidden="false" customHeight="false" outlineLevel="0" collapsed="false">
      <c r="A4" s="1"/>
      <c r="B4" s="4" t="s">
        <v>2</v>
      </c>
      <c r="C4" s="5"/>
      <c r="D4" s="1"/>
      <c r="E4" s="1"/>
      <c r="F4" s="1"/>
      <c r="G4" s="4" t="s">
        <v>3</v>
      </c>
      <c r="H4" s="5"/>
      <c r="I4" s="5"/>
      <c r="J4" s="5"/>
      <c r="K4" s="5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customFormat="false" ht="21.75" hidden="false" customHeight="true" outlineLevel="0" collapsed="false">
      <c r="A5" s="1"/>
      <c r="B5" s="6" t="s">
        <v>4</v>
      </c>
      <c r="C5" s="7" t="s">
        <v>5</v>
      </c>
      <c r="D5" s="1"/>
      <c r="E5" s="1"/>
      <c r="F5" s="1"/>
      <c r="G5" s="8" t="s">
        <v>6</v>
      </c>
      <c r="H5" s="8"/>
      <c r="I5" s="8"/>
      <c r="J5" s="9" t="n">
        <f aca="false">ExpPrice</f>
        <v>496450.4</v>
      </c>
      <c r="K5" s="9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customFormat="false" ht="15" hidden="false" customHeight="false" outlineLevel="0" collapsed="false">
      <c r="A6" s="1"/>
      <c r="B6" s="6" t="s">
        <v>7</v>
      </c>
      <c r="C6" s="7" t="s">
        <v>8</v>
      </c>
      <c r="D6" s="1"/>
      <c r="E6" s="1"/>
      <c r="F6" s="1"/>
      <c r="G6" s="8" t="s">
        <v>9</v>
      </c>
      <c r="H6" s="8"/>
      <c r="I6" s="8"/>
      <c r="J6" s="10" t="str">
        <f aca="false">TEXT(ExpPrice*(1+RangeLow),"$#,##0")&amp;"  to  "&amp;TEXT(ExpPrice*(1+RangeHigh),"$#,##0")</f>
        <v>$446,805  to  $620,563</v>
      </c>
      <c r="K6" s="10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customFormat="false" ht="15" hidden="false" customHeight="false" outlineLevel="0" collapsed="false">
      <c r="A7" s="1"/>
      <c r="B7" s="6" t="s">
        <v>10</v>
      </c>
      <c r="C7" s="11" t="n">
        <v>46391</v>
      </c>
      <c r="D7" s="1"/>
      <c r="E7" s="1"/>
      <c r="F7" s="1"/>
      <c r="G7" s="8" t="s">
        <v>11</v>
      </c>
      <c r="H7" s="8"/>
      <c r="I7" s="8"/>
      <c r="J7" s="12" t="n">
        <f aca="false">PlanHrs</f>
        <v>6760</v>
      </c>
      <c r="K7" s="12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customFormat="false" ht="15" hidden="false" customHeight="false" outlineLevel="0" collapsed="false">
      <c r="A8" s="1"/>
      <c r="B8" s="6" t="s">
        <v>12</v>
      </c>
      <c r="C8" s="7" t="n">
        <v>2</v>
      </c>
      <c r="D8" s="1"/>
      <c r="E8" s="1"/>
      <c r="F8" s="1"/>
      <c r="G8" s="8" t="s">
        <v>13</v>
      </c>
      <c r="H8" s="8"/>
      <c r="I8" s="8"/>
      <c r="J8" s="12" t="n">
        <f aca="false">DurWeeks</f>
        <v>27</v>
      </c>
      <c r="K8" s="1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customFormat="false" ht="15" hidden="false" customHeight="false" outlineLevel="0" collapsed="false">
      <c r="A9" s="1"/>
      <c r="B9" s="6" t="s">
        <v>14</v>
      </c>
      <c r="C9" s="7" t="n">
        <v>6</v>
      </c>
      <c r="D9" s="1"/>
      <c r="E9" s="1"/>
      <c r="F9" s="1"/>
      <c r="G9" s="8" t="s">
        <v>15</v>
      </c>
      <c r="H9" s="8"/>
      <c r="I9" s="8"/>
      <c r="J9" s="10" t="str">
        <f aca="false">Sprints&amp;" x "&amp;SprintLen&amp;"-week"</f>
        <v>8 x 2-week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customFormat="false" ht="15" hidden="false" customHeight="false" outlineLevel="0" collapsed="false">
      <c r="A10" s="1"/>
      <c r="B10" s="6" t="s">
        <v>16</v>
      </c>
      <c r="C10" s="7" t="n">
        <v>2</v>
      </c>
      <c r="D10" s="1"/>
      <c r="E10" s="1"/>
      <c r="F10" s="1"/>
      <c r="G10" s="8" t="s">
        <v>17</v>
      </c>
      <c r="H10" s="8"/>
      <c r="I10" s="8"/>
      <c r="J10" s="13" t="n">
        <f aca="false">PeakTeam</f>
        <v>9</v>
      </c>
      <c r="K10" s="13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customFormat="false" ht="15" hidden="false" customHeight="false" outlineLevel="0" collapsed="false">
      <c r="A11" s="1"/>
      <c r="B11" s="6" t="s">
        <v>18</v>
      </c>
      <c r="C11" s="14" t="n">
        <v>0</v>
      </c>
      <c r="D11" s="1"/>
      <c r="E11" s="1"/>
      <c r="F11" s="1"/>
      <c r="G11" s="8" t="s">
        <v>19</v>
      </c>
      <c r="H11" s="8"/>
      <c r="I11" s="8"/>
      <c r="J11" s="13" t="n">
        <f aca="false">AvgTeam</f>
        <v>6.25925925925926</v>
      </c>
      <c r="K11" s="13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customFormat="false" ht="15" hidden="false" customHeight="false" outlineLevel="0" collapsed="false">
      <c r="A12" s="1"/>
      <c r="B12" s="6" t="s">
        <v>20</v>
      </c>
      <c r="C12" s="14" t="n">
        <v>0.15</v>
      </c>
      <c r="D12" s="1"/>
      <c r="E12" s="1"/>
      <c r="F12" s="1"/>
      <c r="G12" s="8" t="s">
        <v>21</v>
      </c>
      <c r="H12" s="8"/>
      <c r="I12" s="8"/>
      <c r="J12" s="15" t="n">
        <f aca="false">BlendedRate</f>
        <v>63.8603550295858</v>
      </c>
      <c r="K12" s="15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customFormat="false" ht="15" hidden="false" customHeight="false" outlineLevel="0" collapsed="false">
      <c r="A13" s="1"/>
      <c r="B13" s="6" t="s">
        <v>22</v>
      </c>
      <c r="C13" s="7" t="s">
        <v>23</v>
      </c>
      <c r="D13" s="1"/>
      <c r="E13" s="1"/>
      <c r="F13" s="1"/>
      <c r="G13" s="8" t="s">
        <v>24</v>
      </c>
      <c r="H13" s="8"/>
      <c r="I13" s="8"/>
      <c r="J13" s="16" t="n">
        <f aca="false">StartDate+DurWeeks*7-3</f>
        <v>46577</v>
      </c>
      <c r="K13" s="16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customFormat="false" ht="15" hidden="false" customHeight="false" outlineLevel="0" collapsed="false">
      <c r="A14" s="1"/>
      <c r="B14" s="6" t="s">
        <v>25</v>
      </c>
      <c r="C14" s="7" t="s">
        <v>26</v>
      </c>
      <c r="D14" s="1"/>
      <c r="E14" s="1"/>
      <c r="F14" s="1"/>
      <c r="G14" s="8" t="s">
        <v>27</v>
      </c>
      <c r="H14" s="8"/>
      <c r="I14" s="8"/>
      <c r="J14" s="10" t="str">
        <f aca="false">IF(CheckFails=0,"OK - all checks pass",CheckFails&amp;" check(s) to fix - see section 4")</f>
        <v>OK - all checks pass</v>
      </c>
      <c r="K14" s="10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customFormat="false" ht="15" hidden="false" customHeight="false" outlineLevel="0" collapsed="false">
      <c r="A15" s="1"/>
      <c r="B15" s="6" t="s">
        <v>28</v>
      </c>
      <c r="C15" s="7" t="n">
        <v>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customFormat="false" ht="15" hidden="false" customHeight="false" outlineLevel="0" collapsed="false">
      <c r="A17" s="1"/>
      <c r="B17" s="4" t="s">
        <v>29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1"/>
      <c r="S17" s="3" t="s">
        <v>30</v>
      </c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customFormat="false" ht="45" hidden="false" customHeight="true" outlineLevel="0" collapsed="false">
      <c r="A18" s="1"/>
      <c r="B18" s="17" t="s">
        <v>31</v>
      </c>
      <c r="C18" s="17" t="s">
        <v>32</v>
      </c>
      <c r="D18" s="17" t="s">
        <v>33</v>
      </c>
      <c r="E18" s="17" t="s">
        <v>34</v>
      </c>
      <c r="F18" s="17" t="s">
        <v>35</v>
      </c>
      <c r="G18" s="17" t="s">
        <v>36</v>
      </c>
      <c r="H18" s="17" t="s">
        <v>37</v>
      </c>
      <c r="I18" s="17" t="s">
        <v>38</v>
      </c>
      <c r="J18" s="17" t="s">
        <v>39</v>
      </c>
      <c r="K18" s="17" t="s">
        <v>40</v>
      </c>
      <c r="L18" s="17" t="s">
        <v>41</v>
      </c>
      <c r="M18" s="17" t="s">
        <v>42</v>
      </c>
      <c r="N18" s="17" t="s">
        <v>43</v>
      </c>
      <c r="O18" s="17" t="s">
        <v>44</v>
      </c>
      <c r="P18" s="17" t="s">
        <v>45</v>
      </c>
      <c r="Q18" s="17" t="s">
        <v>46</v>
      </c>
      <c r="R18" s="1"/>
      <c r="S18" s="17" t="s">
        <v>47</v>
      </c>
      <c r="T18" s="17" t="s">
        <v>48</v>
      </c>
      <c r="U18" s="17" t="s">
        <v>49</v>
      </c>
      <c r="V18" s="17" t="s">
        <v>50</v>
      </c>
      <c r="W18" s="17" t="s">
        <v>51</v>
      </c>
      <c r="X18" s="17" t="s">
        <v>52</v>
      </c>
      <c r="Y18" s="17" t="s">
        <v>53</v>
      </c>
      <c r="Z18" s="17" t="s">
        <v>54</v>
      </c>
      <c r="AA18" s="17" t="s">
        <v>55</v>
      </c>
      <c r="AB18" s="17" t="s">
        <v>56</v>
      </c>
      <c r="AC18" s="17" t="s">
        <v>57</v>
      </c>
      <c r="AD18" s="17" t="s">
        <v>58</v>
      </c>
      <c r="AE18" s="17" t="s">
        <v>59</v>
      </c>
    </row>
    <row r="19" customFormat="false" ht="15" hidden="false" customHeight="false" outlineLevel="0" collapsed="false">
      <c r="A19" s="1"/>
      <c r="B19" s="7" t="s">
        <v>60</v>
      </c>
      <c r="C19" s="7" t="s">
        <v>61</v>
      </c>
      <c r="D19" s="7" t="s">
        <v>23</v>
      </c>
      <c r="E19" s="18" t="n">
        <v>300</v>
      </c>
      <c r="F19" s="19" t="n">
        <v>2</v>
      </c>
      <c r="G19" s="7" t="s">
        <v>62</v>
      </c>
      <c r="H19" s="14"/>
      <c r="I19" s="14"/>
      <c r="J19" s="14"/>
      <c r="K19" s="14"/>
      <c r="L19" s="14" t="n">
        <v>0.2</v>
      </c>
      <c r="M19" s="18" t="n">
        <v>6</v>
      </c>
      <c r="N19" s="7" t="s">
        <v>63</v>
      </c>
      <c r="O19" s="20" t="n">
        <f aca="false">IF(S19=0,0,IFERROR(INDEX(KnownFactor,MATCH(B19&amp;"|"&amp;C19,KnownKey,0)),IFERROR(INDEX(ArchFactor,MATCH(X19,ArchNames,0),MATCH(Y19,ArchNames,0)),1)))</f>
        <v>1</v>
      </c>
      <c r="P19" s="21" t="n">
        <f aca="false">AB19*(T19*INDEX(HrsPage,1)+U19*INDEX(HrsPage,2)+V19*INDEX(HrsPage,3)+W19*INDEX(HrsPage,4))*O19*(1+AE19*DPRep)*(1-LearnAvg)*(1-Auto*CapRep)</f>
        <v>2728.53</v>
      </c>
      <c r="Q19" s="21" t="n">
        <f aca="false">S19*N(M19)*(IFERROR(INDEX(ModelHrs,MATCH(N19,ModelLevels,0)),INDEX(ModelHrs,2))*Z19*O19*(1+AE19*DPModel)*(1-Auto*CapSem)+IF(IncAI="Yes",AIHrs,0))</f>
        <v>828</v>
      </c>
      <c r="R19" s="1"/>
      <c r="S19" s="22" t="n">
        <f aca="false">IF(AND(B19&lt;&gt;"",C19&lt;&gt;"",N(E19)&gt;0),1,0)</f>
        <v>1</v>
      </c>
      <c r="T19" s="23" t="n">
        <f aca="false">IF(G19="Custom",N(H19),IFERROR(INDEX(ProfileMix,MATCH(G19,ProfileNames,0),1),INDEX(ProfileMix,2,1)))</f>
        <v>0.4</v>
      </c>
      <c r="U19" s="23" t="n">
        <f aca="false">IF(G19="Custom",N(I19),IFERROR(INDEX(ProfileMix,MATCH(G19,ProfileNames,0),2),INDEX(ProfileMix,2,2)))</f>
        <v>0.4</v>
      </c>
      <c r="V19" s="23" t="n">
        <f aca="false">IF(G19="Custom",N(J19),IFERROR(INDEX(ProfileMix,MATCH(G19,ProfileNames,0),3),INDEX(ProfileMix,2,3)))</f>
        <v>0.15</v>
      </c>
      <c r="W19" s="23" t="n">
        <f aca="false">IF(G19="Custom",N(K19),IFERROR(INDEX(ProfileMix,MATCH(G19,ProfileNames,0),4),INDEX(ProfileMix,2,4)))</f>
        <v>0.05</v>
      </c>
      <c r="X19" s="22" t="str">
        <f aca="false">IFERROR(INDEX(ToolArch,MATCH(B19,ToolNames,0)),"Unmapped")</f>
        <v>Enterprise semantic-layer</v>
      </c>
      <c r="Y19" s="22" t="str">
        <f aca="false">IFERROR(INDEX(ToolArch,MATCH(C19,ToolNames,0)),"Unmapped")</f>
        <v>Modern visual / self-service</v>
      </c>
      <c r="Z19" s="23" t="n">
        <f aca="false">IFERROR(INDEX(ApproachShare,MATCH(X19,ArchNames,0),MATCH(Y19,ArchNames,0)),1)</f>
        <v>1</v>
      </c>
      <c r="AA19" s="21" t="n">
        <f aca="false">S19*N(E19)*MAX(1,N(F19))</f>
        <v>600</v>
      </c>
      <c r="AB19" s="21" t="n">
        <f aca="false">AA19*(1-MIN(1,N(L19)))</f>
        <v>480</v>
      </c>
      <c r="AC19" s="21" t="n">
        <f aca="false">IF(S19=1,IF(AA19&lt;=INDEX(AnchorPages,1),INDEX(AnchorAnalysis,1),IF(AA19&gt;=INDEX(AnchorPages,5),INDEX(AnchorAnalysis,5)+(AA19-INDEX(AnchorPages,5))*(INDEX(AnchorAnalysis,5)-INDEX(AnchorAnalysis,4))/(INDEX(AnchorPages,5)-INDEX(AnchorPages,4)),INDEX(AnchorAnalysis,MATCH(AA19,AnchorPages,1))+(AA19-INDEX(AnchorPages,MATCH(AA19,AnchorPages,1)))*(INDEX(AnchorAnalysis,MATCH(AA19,AnchorPages,1)+1)-INDEX(AnchorAnalysis,MATCH(AA19,AnchorPages,1)))/(INDEX(AnchorPages,MATCH(AA19,AnchorPages,1)+1)-INDEX(AnchorPages,MATCH(AA19,AnchorPages,1)))))*O19,0)</f>
        <v>176</v>
      </c>
      <c r="AD19" s="22" t="n">
        <f aca="false">IF(AND(S19=1,OR(ABS(T19+U19+V19+W19-1)&gt;0.001,X19="Unmapped",Y19="Unmapped")),1,0)</f>
        <v>0</v>
      </c>
      <c r="AE19" s="22" t="n">
        <f aca="false">IF(AND(S19=1,D19="Yes"),1,0)</f>
        <v>1</v>
      </c>
    </row>
    <row r="20" customFormat="false" ht="15" hidden="false" customHeight="false" outlineLevel="0" collapsed="false">
      <c r="A20" s="1"/>
      <c r="B20" s="7"/>
      <c r="C20" s="7"/>
      <c r="D20" s="7"/>
      <c r="E20" s="18"/>
      <c r="F20" s="19"/>
      <c r="G20" s="7"/>
      <c r="H20" s="14"/>
      <c r="I20" s="14"/>
      <c r="J20" s="14"/>
      <c r="K20" s="14"/>
      <c r="L20" s="14"/>
      <c r="M20" s="18"/>
      <c r="N20" s="7"/>
      <c r="O20" s="20" t="n">
        <f aca="false">IF(S20=0,0,IFERROR(INDEX(KnownFactor,MATCH(B20&amp;"|"&amp;C20,KnownKey,0)),IFERROR(INDEX(ArchFactor,MATCH(X20,ArchNames,0),MATCH(Y20,ArchNames,0)),1)))</f>
        <v>0</v>
      </c>
      <c r="P20" s="21" t="n">
        <f aca="false">AB20*(T20*INDEX(HrsPage,1)+U20*INDEX(HrsPage,2)+V20*INDEX(HrsPage,3)+W20*INDEX(HrsPage,4))*O20*(1+AE20*DPRep)*(1-LearnAvg)*(1-Auto*CapRep)</f>
        <v>0</v>
      </c>
      <c r="Q20" s="21" t="n">
        <f aca="false">S20*N(M20)*(IFERROR(INDEX(ModelHrs,MATCH(N20,ModelLevels,0)),INDEX(ModelHrs,2))*Z20*O20*(1+AE20*DPModel)*(1-Auto*CapSem)+IF(IncAI="Yes",AIHrs,0))</f>
        <v>0</v>
      </c>
      <c r="R20" s="1"/>
      <c r="S20" s="22" t="n">
        <f aca="false">IF(AND(B20&lt;&gt;"",C20&lt;&gt;"",N(E20)&gt;0),1,0)</f>
        <v>0</v>
      </c>
      <c r="T20" s="23" t="n">
        <f aca="false">IF(G20="Custom",N(H20),IFERROR(INDEX(ProfileMix,MATCH(G20,ProfileNames,0),1),INDEX(ProfileMix,2,1)))</f>
        <v>0.4</v>
      </c>
      <c r="U20" s="23" t="n">
        <f aca="false">IF(G20="Custom",N(I20),IFERROR(INDEX(ProfileMix,MATCH(G20,ProfileNames,0),2),INDEX(ProfileMix,2,2)))</f>
        <v>0.4</v>
      </c>
      <c r="V20" s="23" t="n">
        <f aca="false">IF(G20="Custom",N(J20),IFERROR(INDEX(ProfileMix,MATCH(G20,ProfileNames,0),3),INDEX(ProfileMix,2,3)))</f>
        <v>0.15</v>
      </c>
      <c r="W20" s="23" t="n">
        <f aca="false">IF(G20="Custom",N(K20),IFERROR(INDEX(ProfileMix,MATCH(G20,ProfileNames,0),4),INDEX(ProfileMix,2,4)))</f>
        <v>0.05</v>
      </c>
      <c r="X20" s="22" t="str">
        <f aca="false">IFERROR(INDEX(ToolArch,MATCH(B20,ToolNames,0)),"Unmapped")</f>
        <v>Unmapped</v>
      </c>
      <c r="Y20" s="22" t="str">
        <f aca="false">IFERROR(INDEX(ToolArch,MATCH(C20,ToolNames,0)),"Unmapped")</f>
        <v>Unmapped</v>
      </c>
      <c r="Z20" s="23" t="n">
        <f aca="false">IFERROR(INDEX(ApproachShare,MATCH(X20,ArchNames,0),MATCH(Y20,ArchNames,0)),1)</f>
        <v>1</v>
      </c>
      <c r="AA20" s="21" t="n">
        <f aca="false">S20*N(E20)*MAX(1,N(F20))</f>
        <v>0</v>
      </c>
      <c r="AB20" s="21" t="n">
        <f aca="false">AA20*(1-MIN(1,N(L20)))</f>
        <v>0</v>
      </c>
      <c r="AC20" s="21" t="n">
        <f aca="false">IF(S20=1,IF(AA20&lt;=INDEX(AnchorPages,1),INDEX(AnchorAnalysis,1),IF(AA20&gt;=INDEX(AnchorPages,5),INDEX(AnchorAnalysis,5)+(AA20-INDEX(AnchorPages,5))*(INDEX(AnchorAnalysis,5)-INDEX(AnchorAnalysis,4))/(INDEX(AnchorPages,5)-INDEX(AnchorPages,4)),INDEX(AnchorAnalysis,MATCH(AA20,AnchorPages,1))+(AA20-INDEX(AnchorPages,MATCH(AA20,AnchorPages,1)))*(INDEX(AnchorAnalysis,MATCH(AA20,AnchorPages,1)+1)-INDEX(AnchorAnalysis,MATCH(AA20,AnchorPages,1)))/(INDEX(AnchorPages,MATCH(AA20,AnchorPages,1)+1)-INDEX(AnchorPages,MATCH(AA20,AnchorPages,1)))))*O20,0)</f>
        <v>0</v>
      </c>
      <c r="AD20" s="22" t="n">
        <f aca="false">IF(AND(S20=1,OR(ABS(T20+U20+V20+W20-1)&gt;0.001,X20="Unmapped",Y20="Unmapped")),1,0)</f>
        <v>0</v>
      </c>
      <c r="AE20" s="22" t="n">
        <f aca="false">IF(AND(S20=1,D20="Yes"),1,0)</f>
        <v>0</v>
      </c>
    </row>
    <row r="21" customFormat="false" ht="15" hidden="false" customHeight="false" outlineLevel="0" collapsed="false">
      <c r="A21" s="1"/>
      <c r="B21" s="7"/>
      <c r="C21" s="7"/>
      <c r="D21" s="7"/>
      <c r="E21" s="18"/>
      <c r="F21" s="19"/>
      <c r="G21" s="7"/>
      <c r="H21" s="14"/>
      <c r="I21" s="14"/>
      <c r="J21" s="14"/>
      <c r="K21" s="14"/>
      <c r="L21" s="14"/>
      <c r="M21" s="18"/>
      <c r="N21" s="7"/>
      <c r="O21" s="20" t="n">
        <f aca="false">IF(S21=0,0,IFERROR(INDEX(KnownFactor,MATCH(B21&amp;"|"&amp;C21,KnownKey,0)),IFERROR(INDEX(ArchFactor,MATCH(X21,ArchNames,0),MATCH(Y21,ArchNames,0)),1)))</f>
        <v>0</v>
      </c>
      <c r="P21" s="21" t="n">
        <f aca="false">AB21*(T21*INDEX(HrsPage,1)+U21*INDEX(HrsPage,2)+V21*INDEX(HrsPage,3)+W21*INDEX(HrsPage,4))*O21*(1+AE21*DPRep)*(1-LearnAvg)*(1-Auto*CapRep)</f>
        <v>0</v>
      </c>
      <c r="Q21" s="21" t="n">
        <f aca="false">S21*N(M21)*(IFERROR(INDEX(ModelHrs,MATCH(N21,ModelLevels,0)),INDEX(ModelHrs,2))*Z21*O21*(1+AE21*DPModel)*(1-Auto*CapSem)+IF(IncAI="Yes",AIHrs,0))</f>
        <v>0</v>
      </c>
      <c r="R21" s="1"/>
      <c r="S21" s="22" t="n">
        <f aca="false">IF(AND(B21&lt;&gt;"",C21&lt;&gt;"",N(E21)&gt;0),1,0)</f>
        <v>0</v>
      </c>
      <c r="T21" s="23" t="n">
        <f aca="false">IF(G21="Custom",N(H21),IFERROR(INDEX(ProfileMix,MATCH(G21,ProfileNames,0),1),INDEX(ProfileMix,2,1)))</f>
        <v>0.4</v>
      </c>
      <c r="U21" s="23" t="n">
        <f aca="false">IF(G21="Custom",N(I21),IFERROR(INDEX(ProfileMix,MATCH(G21,ProfileNames,0),2),INDEX(ProfileMix,2,2)))</f>
        <v>0.4</v>
      </c>
      <c r="V21" s="23" t="n">
        <f aca="false">IF(G21="Custom",N(J21),IFERROR(INDEX(ProfileMix,MATCH(G21,ProfileNames,0),3),INDEX(ProfileMix,2,3)))</f>
        <v>0.15</v>
      </c>
      <c r="W21" s="23" t="n">
        <f aca="false">IF(G21="Custom",N(K21),IFERROR(INDEX(ProfileMix,MATCH(G21,ProfileNames,0),4),INDEX(ProfileMix,2,4)))</f>
        <v>0.05</v>
      </c>
      <c r="X21" s="22" t="str">
        <f aca="false">IFERROR(INDEX(ToolArch,MATCH(B21,ToolNames,0)),"Unmapped")</f>
        <v>Unmapped</v>
      </c>
      <c r="Y21" s="22" t="str">
        <f aca="false">IFERROR(INDEX(ToolArch,MATCH(C21,ToolNames,0)),"Unmapped")</f>
        <v>Unmapped</v>
      </c>
      <c r="Z21" s="23" t="n">
        <f aca="false">IFERROR(INDEX(ApproachShare,MATCH(X21,ArchNames,0),MATCH(Y21,ArchNames,0)),1)</f>
        <v>1</v>
      </c>
      <c r="AA21" s="21" t="n">
        <f aca="false">S21*N(E21)*MAX(1,N(F21))</f>
        <v>0</v>
      </c>
      <c r="AB21" s="21" t="n">
        <f aca="false">AA21*(1-MIN(1,N(L21)))</f>
        <v>0</v>
      </c>
      <c r="AC21" s="21" t="n">
        <f aca="false">IF(S21=1,IF(AA21&lt;=INDEX(AnchorPages,1),INDEX(AnchorAnalysis,1),IF(AA21&gt;=INDEX(AnchorPages,5),INDEX(AnchorAnalysis,5)+(AA21-INDEX(AnchorPages,5))*(INDEX(AnchorAnalysis,5)-INDEX(AnchorAnalysis,4))/(INDEX(AnchorPages,5)-INDEX(AnchorPages,4)),INDEX(AnchorAnalysis,MATCH(AA21,AnchorPages,1))+(AA21-INDEX(AnchorPages,MATCH(AA21,AnchorPages,1)))*(INDEX(AnchorAnalysis,MATCH(AA21,AnchorPages,1)+1)-INDEX(AnchorAnalysis,MATCH(AA21,AnchorPages,1)))/(INDEX(AnchorPages,MATCH(AA21,AnchorPages,1)+1)-INDEX(AnchorPages,MATCH(AA21,AnchorPages,1)))))*O21,0)</f>
        <v>0</v>
      </c>
      <c r="AD21" s="22" t="n">
        <f aca="false">IF(AND(S21=1,OR(ABS(T21+U21+V21+W21-1)&gt;0.001,X21="Unmapped",Y21="Unmapped")),1,0)</f>
        <v>0</v>
      </c>
      <c r="AE21" s="22" t="n">
        <f aca="false">IF(AND(S21=1,D21="Yes"),1,0)</f>
        <v>0</v>
      </c>
    </row>
    <row r="22" customFormat="false" ht="15" hidden="false" customHeight="false" outlineLevel="0" collapsed="false">
      <c r="A22" s="1"/>
      <c r="B22" s="7"/>
      <c r="C22" s="7"/>
      <c r="D22" s="7"/>
      <c r="E22" s="18"/>
      <c r="F22" s="19"/>
      <c r="G22" s="7"/>
      <c r="H22" s="14"/>
      <c r="I22" s="14"/>
      <c r="J22" s="14"/>
      <c r="K22" s="14"/>
      <c r="L22" s="14"/>
      <c r="M22" s="18"/>
      <c r="N22" s="7"/>
      <c r="O22" s="20" t="n">
        <f aca="false">IF(S22=0,0,IFERROR(INDEX(KnownFactor,MATCH(B22&amp;"|"&amp;C22,KnownKey,0)),IFERROR(INDEX(ArchFactor,MATCH(X22,ArchNames,0),MATCH(Y22,ArchNames,0)),1)))</f>
        <v>0</v>
      </c>
      <c r="P22" s="21" t="n">
        <f aca="false">AB22*(T22*INDEX(HrsPage,1)+U22*INDEX(HrsPage,2)+V22*INDEX(HrsPage,3)+W22*INDEX(HrsPage,4))*O22*(1+AE22*DPRep)*(1-LearnAvg)*(1-Auto*CapRep)</f>
        <v>0</v>
      </c>
      <c r="Q22" s="21" t="n">
        <f aca="false">S22*N(M22)*(IFERROR(INDEX(ModelHrs,MATCH(N22,ModelLevels,0)),INDEX(ModelHrs,2))*Z22*O22*(1+AE22*DPModel)*(1-Auto*CapSem)+IF(IncAI="Yes",AIHrs,0))</f>
        <v>0</v>
      </c>
      <c r="R22" s="1"/>
      <c r="S22" s="22" t="n">
        <f aca="false">IF(AND(B22&lt;&gt;"",C22&lt;&gt;"",N(E22)&gt;0),1,0)</f>
        <v>0</v>
      </c>
      <c r="T22" s="23" t="n">
        <f aca="false">IF(G22="Custom",N(H22),IFERROR(INDEX(ProfileMix,MATCH(G22,ProfileNames,0),1),INDEX(ProfileMix,2,1)))</f>
        <v>0.4</v>
      </c>
      <c r="U22" s="23" t="n">
        <f aca="false">IF(G22="Custom",N(I22),IFERROR(INDEX(ProfileMix,MATCH(G22,ProfileNames,0),2),INDEX(ProfileMix,2,2)))</f>
        <v>0.4</v>
      </c>
      <c r="V22" s="23" t="n">
        <f aca="false">IF(G22="Custom",N(J22),IFERROR(INDEX(ProfileMix,MATCH(G22,ProfileNames,0),3),INDEX(ProfileMix,2,3)))</f>
        <v>0.15</v>
      </c>
      <c r="W22" s="23" t="n">
        <f aca="false">IF(G22="Custom",N(K22),IFERROR(INDEX(ProfileMix,MATCH(G22,ProfileNames,0),4),INDEX(ProfileMix,2,4)))</f>
        <v>0.05</v>
      </c>
      <c r="X22" s="22" t="str">
        <f aca="false">IFERROR(INDEX(ToolArch,MATCH(B22,ToolNames,0)),"Unmapped")</f>
        <v>Unmapped</v>
      </c>
      <c r="Y22" s="22" t="str">
        <f aca="false">IFERROR(INDEX(ToolArch,MATCH(C22,ToolNames,0)),"Unmapped")</f>
        <v>Unmapped</v>
      </c>
      <c r="Z22" s="23" t="n">
        <f aca="false">IFERROR(INDEX(ApproachShare,MATCH(X22,ArchNames,0),MATCH(Y22,ArchNames,0)),1)</f>
        <v>1</v>
      </c>
      <c r="AA22" s="21" t="n">
        <f aca="false">S22*N(E22)*MAX(1,N(F22))</f>
        <v>0</v>
      </c>
      <c r="AB22" s="21" t="n">
        <f aca="false">AA22*(1-MIN(1,N(L22)))</f>
        <v>0</v>
      </c>
      <c r="AC22" s="21" t="n">
        <f aca="false">IF(S22=1,IF(AA22&lt;=INDEX(AnchorPages,1),INDEX(AnchorAnalysis,1),IF(AA22&gt;=INDEX(AnchorPages,5),INDEX(AnchorAnalysis,5)+(AA22-INDEX(AnchorPages,5))*(INDEX(AnchorAnalysis,5)-INDEX(AnchorAnalysis,4))/(INDEX(AnchorPages,5)-INDEX(AnchorPages,4)),INDEX(AnchorAnalysis,MATCH(AA22,AnchorPages,1))+(AA22-INDEX(AnchorPages,MATCH(AA22,AnchorPages,1)))*(INDEX(AnchorAnalysis,MATCH(AA22,AnchorPages,1)+1)-INDEX(AnchorAnalysis,MATCH(AA22,AnchorPages,1)))/(INDEX(AnchorPages,MATCH(AA22,AnchorPages,1)+1)-INDEX(AnchorPages,MATCH(AA22,AnchorPages,1)))))*O22,0)</f>
        <v>0</v>
      </c>
      <c r="AD22" s="22" t="n">
        <f aca="false">IF(AND(S22=1,OR(ABS(T22+U22+V22+W22-1)&gt;0.001,X22="Unmapped",Y22="Unmapped")),1,0)</f>
        <v>0</v>
      </c>
      <c r="AE22" s="22" t="n">
        <f aca="false">IF(AND(S22=1,D22="Yes"),1,0)</f>
        <v>0</v>
      </c>
    </row>
    <row r="23" customFormat="false" ht="15" hidden="false" customHeight="false" outlineLevel="0" collapsed="false">
      <c r="A23" s="1"/>
      <c r="B23" s="7"/>
      <c r="C23" s="7"/>
      <c r="D23" s="7"/>
      <c r="E23" s="18"/>
      <c r="F23" s="19"/>
      <c r="G23" s="7"/>
      <c r="H23" s="14"/>
      <c r="I23" s="14"/>
      <c r="J23" s="14"/>
      <c r="K23" s="14"/>
      <c r="L23" s="14"/>
      <c r="M23" s="18"/>
      <c r="N23" s="7"/>
      <c r="O23" s="20" t="n">
        <f aca="false">IF(S23=0,0,IFERROR(INDEX(KnownFactor,MATCH(B23&amp;"|"&amp;C23,KnownKey,0)),IFERROR(INDEX(ArchFactor,MATCH(X23,ArchNames,0),MATCH(Y23,ArchNames,0)),1)))</f>
        <v>0</v>
      </c>
      <c r="P23" s="21" t="n">
        <f aca="false">AB23*(T23*INDEX(HrsPage,1)+U23*INDEX(HrsPage,2)+V23*INDEX(HrsPage,3)+W23*INDEX(HrsPage,4))*O23*(1+AE23*DPRep)*(1-LearnAvg)*(1-Auto*CapRep)</f>
        <v>0</v>
      </c>
      <c r="Q23" s="21" t="n">
        <f aca="false">S23*N(M23)*(IFERROR(INDEX(ModelHrs,MATCH(N23,ModelLevels,0)),INDEX(ModelHrs,2))*Z23*O23*(1+AE23*DPModel)*(1-Auto*CapSem)+IF(IncAI="Yes",AIHrs,0))</f>
        <v>0</v>
      </c>
      <c r="R23" s="1"/>
      <c r="S23" s="22" t="n">
        <f aca="false">IF(AND(B23&lt;&gt;"",C23&lt;&gt;"",N(E23)&gt;0),1,0)</f>
        <v>0</v>
      </c>
      <c r="T23" s="23" t="n">
        <f aca="false">IF(G23="Custom",N(H23),IFERROR(INDEX(ProfileMix,MATCH(G23,ProfileNames,0),1),INDEX(ProfileMix,2,1)))</f>
        <v>0.4</v>
      </c>
      <c r="U23" s="23" t="n">
        <f aca="false">IF(G23="Custom",N(I23),IFERROR(INDEX(ProfileMix,MATCH(G23,ProfileNames,0),2),INDEX(ProfileMix,2,2)))</f>
        <v>0.4</v>
      </c>
      <c r="V23" s="23" t="n">
        <f aca="false">IF(G23="Custom",N(J23),IFERROR(INDEX(ProfileMix,MATCH(G23,ProfileNames,0),3),INDEX(ProfileMix,2,3)))</f>
        <v>0.15</v>
      </c>
      <c r="W23" s="23" t="n">
        <f aca="false">IF(G23="Custom",N(K23),IFERROR(INDEX(ProfileMix,MATCH(G23,ProfileNames,0),4),INDEX(ProfileMix,2,4)))</f>
        <v>0.05</v>
      </c>
      <c r="X23" s="22" t="str">
        <f aca="false">IFERROR(INDEX(ToolArch,MATCH(B23,ToolNames,0)),"Unmapped")</f>
        <v>Unmapped</v>
      </c>
      <c r="Y23" s="22" t="str">
        <f aca="false">IFERROR(INDEX(ToolArch,MATCH(C23,ToolNames,0)),"Unmapped")</f>
        <v>Unmapped</v>
      </c>
      <c r="Z23" s="23" t="n">
        <f aca="false">IFERROR(INDEX(ApproachShare,MATCH(X23,ArchNames,0),MATCH(Y23,ArchNames,0)),1)</f>
        <v>1</v>
      </c>
      <c r="AA23" s="21" t="n">
        <f aca="false">S23*N(E23)*MAX(1,N(F23))</f>
        <v>0</v>
      </c>
      <c r="AB23" s="21" t="n">
        <f aca="false">AA23*(1-MIN(1,N(L23)))</f>
        <v>0</v>
      </c>
      <c r="AC23" s="21" t="n">
        <f aca="false">IF(S23=1,IF(AA23&lt;=INDEX(AnchorPages,1),INDEX(AnchorAnalysis,1),IF(AA23&gt;=INDEX(AnchorPages,5),INDEX(AnchorAnalysis,5)+(AA23-INDEX(AnchorPages,5))*(INDEX(AnchorAnalysis,5)-INDEX(AnchorAnalysis,4))/(INDEX(AnchorPages,5)-INDEX(AnchorPages,4)),INDEX(AnchorAnalysis,MATCH(AA23,AnchorPages,1))+(AA23-INDEX(AnchorPages,MATCH(AA23,AnchorPages,1)))*(INDEX(AnchorAnalysis,MATCH(AA23,AnchorPages,1)+1)-INDEX(AnchorAnalysis,MATCH(AA23,AnchorPages,1)))/(INDEX(AnchorPages,MATCH(AA23,AnchorPages,1)+1)-INDEX(AnchorPages,MATCH(AA23,AnchorPages,1)))))*O23,0)</f>
        <v>0</v>
      </c>
      <c r="AD23" s="22" t="n">
        <f aca="false">IF(AND(S23=1,OR(ABS(T23+U23+V23+W23-1)&gt;0.001,X23="Unmapped",Y23="Unmapped")),1,0)</f>
        <v>0</v>
      </c>
      <c r="AE23" s="22" t="n">
        <f aca="false">IF(AND(S23=1,D23="Yes"),1,0)</f>
        <v>0</v>
      </c>
    </row>
    <row r="24" customFormat="false" ht="15" hidden="false" customHeight="false" outlineLevel="0" collapsed="false">
      <c r="A24" s="1"/>
      <c r="B24" s="3" t="s">
        <v>64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24" t="s">
        <v>65</v>
      </c>
      <c r="O25" s="1"/>
      <c r="P25" s="25" t="n">
        <f aca="false">SUM(P19:P23)</f>
        <v>2728.53</v>
      </c>
      <c r="Q25" s="25" t="n">
        <f aca="false">SUM(Q19:Q23)</f>
        <v>828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customFormat="false" ht="15" hidden="false" customHeight="false" outlineLevel="0" collapsed="false">
      <c r="A28" s="1"/>
      <c r="B28" s="4" t="s">
        <v>66</v>
      </c>
      <c r="C28" s="5"/>
      <c r="D28" s="5"/>
      <c r="E28" s="5"/>
      <c r="F28" s="5"/>
      <c r="G28" s="5"/>
      <c r="H28" s="5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customFormat="false" ht="30" hidden="false" customHeight="true" outlineLevel="0" collapsed="false">
      <c r="A29" s="1"/>
      <c r="B29" s="17" t="s">
        <v>67</v>
      </c>
      <c r="C29" s="17" t="s">
        <v>68</v>
      </c>
      <c r="D29" s="17" t="s">
        <v>69</v>
      </c>
      <c r="E29" s="17" t="s">
        <v>70</v>
      </c>
      <c r="F29" s="17" t="s">
        <v>71</v>
      </c>
      <c r="G29" s="17" t="s">
        <v>72</v>
      </c>
      <c r="H29" s="17" t="s">
        <v>73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customFormat="false" ht="15" hidden="false" customHeight="false" outlineLevel="0" collapsed="false">
      <c r="A30" s="1"/>
      <c r="B30" s="26" t="s">
        <v>74</v>
      </c>
      <c r="C30" s="27" t="n">
        <f aca="false">1</f>
        <v>1</v>
      </c>
      <c r="D30" s="27" t="n">
        <f aca="false">PlanWeeks</f>
        <v>5</v>
      </c>
      <c r="E30" s="28" t="n">
        <f aca="false">IF(ActivePairs=0,0,CEILING(AssessHrs/(PlanWeeks*HrsWk),0.5))</f>
        <v>2</v>
      </c>
      <c r="F30" s="29" t="n">
        <f aca="false">D30*E30*HrsWk</f>
        <v>400</v>
      </c>
      <c r="G30" s="30" t="n">
        <f aca="false">F30*SUMPRODUCT(MMULT(Reference!$B$61:$G$61,PlanRates))</f>
        <v>28000</v>
      </c>
      <c r="H30" s="31" t="s">
        <v>75</v>
      </c>
      <c r="I30" s="31"/>
      <c r="J30" s="31"/>
      <c r="K30" s="3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customFormat="false" ht="15" hidden="false" customHeight="false" outlineLevel="0" collapsed="false">
      <c r="A31" s="1"/>
      <c r="B31" s="32" t="s">
        <v>76</v>
      </c>
      <c r="C31" s="27" t="n">
        <f aca="false">DevStart</f>
        <v>6</v>
      </c>
      <c r="D31" s="27" t="n">
        <f aca="false">DevWeeks</f>
        <v>16</v>
      </c>
      <c r="E31" s="28" t="n">
        <f aca="false">IF(ActivePairs=0,0,MIN(DevTeam,CEILING(DevHrs/(DevWeeks*HrsWk),0.5)))</f>
        <v>6</v>
      </c>
      <c r="F31" s="29" t="n">
        <f aca="false">D31*E31*HrsWk</f>
        <v>3840</v>
      </c>
      <c r="G31" s="30" t="n">
        <f aca="false">F31*SUMPRODUCT(MMULT(Reference!$B$62:$G$62,PlanRates))</f>
        <v>227328</v>
      </c>
      <c r="H31" s="31" t="s">
        <v>77</v>
      </c>
      <c r="I31" s="31"/>
      <c r="J31" s="31"/>
      <c r="K31" s="3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customFormat="false" ht="15" hidden="false" customHeight="false" outlineLevel="0" collapsed="false">
      <c r="A32" s="1"/>
      <c r="B32" s="33" t="s">
        <v>78</v>
      </c>
      <c r="C32" s="27" t="n">
        <f aca="false">DevStart+SprintLen</f>
        <v>8</v>
      </c>
      <c r="D32" s="27" t="n">
        <f aca="false">DevWeeks</f>
        <v>16</v>
      </c>
      <c r="E32" s="28" t="n">
        <f aca="false">IF(ActivePairs=0,0,MAX(0.5,CEILING(SITPct*DevHrs*(1-Auto*CapSIT)/(DevWeeks*HrsWk),0.5)))</f>
        <v>1</v>
      </c>
      <c r="F32" s="29" t="n">
        <f aca="false">D32*E32*HrsWk</f>
        <v>640</v>
      </c>
      <c r="G32" s="30" t="n">
        <f aca="false">F32*SUMPRODUCT(MMULT(Reference!$B$63:$G$63,PlanRates))</f>
        <v>36800</v>
      </c>
      <c r="H32" s="31" t="s">
        <v>79</v>
      </c>
      <c r="I32" s="31"/>
      <c r="J32" s="31"/>
      <c r="K32" s="3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customFormat="false" ht="15" hidden="false" customHeight="false" outlineLevel="0" collapsed="false">
      <c r="A33" s="1"/>
      <c r="B33" s="34" t="s">
        <v>80</v>
      </c>
      <c r="C33" s="27" t="n">
        <f aca="false">DevStart+2*SprintLen</f>
        <v>10</v>
      </c>
      <c r="D33" s="27" t="n">
        <f aca="false">DevWeeks</f>
        <v>16</v>
      </c>
      <c r="E33" s="28" t="n">
        <f aca="false">IF(ActivePairs=0,0,IF(PagesPerSprint&lt;=UATThreshold,UATLow,UATHigh)*UATWk/SprintLen*(1-Auto*CapUAT))</f>
        <v>0.5</v>
      </c>
      <c r="F33" s="29" t="n">
        <f aca="false">D33*E33*HrsWk</f>
        <v>320</v>
      </c>
      <c r="G33" s="30" t="n">
        <f aca="false">F33*SUMPRODUCT(MMULT(Reference!$B$64:$G$64,PlanRates))</f>
        <v>20608</v>
      </c>
      <c r="H33" s="31" t="s">
        <v>81</v>
      </c>
      <c r="I33" s="31"/>
      <c r="J33" s="31"/>
      <c r="K33" s="3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customFormat="false" ht="15" hidden="false" customHeight="false" outlineLevel="0" collapsed="false">
      <c r="A34" s="1"/>
      <c r="B34" s="35" t="s">
        <v>82</v>
      </c>
      <c r="C34" s="27" t="n">
        <f aca="false">DevStart+2*SprintLen</f>
        <v>10</v>
      </c>
      <c r="D34" s="27" t="n">
        <f aca="false">DevWeeks</f>
        <v>16</v>
      </c>
      <c r="E34" s="28" t="n">
        <f aca="false">IF(ActivePairs=0,0,DepEng*DepWk/SprintLen*(1-Auto*CapDep))</f>
        <v>0.5</v>
      </c>
      <c r="F34" s="29" t="n">
        <f aca="false">D34*E34*HrsWk</f>
        <v>320</v>
      </c>
      <c r="G34" s="30" t="n">
        <f aca="false">F34*SUMPRODUCT(MMULT(Reference!$B$65:$G$65,PlanRates))</f>
        <v>19840</v>
      </c>
      <c r="H34" s="31" t="s">
        <v>83</v>
      </c>
      <c r="I34" s="31"/>
      <c r="J34" s="31"/>
      <c r="K34" s="3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customFormat="false" ht="15" hidden="false" customHeight="false" outlineLevel="0" collapsed="false">
      <c r="A35" s="1"/>
      <c r="B35" s="36" t="s">
        <v>84</v>
      </c>
      <c r="C35" s="27" t="n">
        <f aca="false">UATEnd+1</f>
        <v>26</v>
      </c>
      <c r="D35" s="27" t="n">
        <f aca="false">HCWk</f>
        <v>2</v>
      </c>
      <c r="E35" s="28" t="n">
        <f aca="false">IF(ActivePairs=0,0,HCCrew)</f>
        <v>2</v>
      </c>
      <c r="F35" s="29" t="n">
        <f aca="false">D35*E35*HrsWk</f>
        <v>160</v>
      </c>
      <c r="G35" s="30" t="n">
        <f aca="false">F35*SUMPRODUCT(MMULT(Reference!$B$66:$G$66,PlanRates))</f>
        <v>10560</v>
      </c>
      <c r="H35" s="31" t="s">
        <v>85</v>
      </c>
      <c r="I35" s="31"/>
      <c r="J35" s="31"/>
      <c r="K35" s="3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customFormat="false" ht="15" hidden="false" customHeight="false" outlineLevel="0" collapsed="false">
      <c r="A36" s="1"/>
      <c r="B36" s="37" t="s">
        <v>86</v>
      </c>
      <c r="C36" s="27" t="n">
        <f aca="false">1</f>
        <v>1</v>
      </c>
      <c r="D36" s="27" t="n">
        <f aca="false">DurWeeks</f>
        <v>27</v>
      </c>
      <c r="E36" s="28" t="n">
        <f aca="false">IF(ActivePairs=0,0,IF(IncPM="Yes",1,0))</f>
        <v>1</v>
      </c>
      <c r="F36" s="29" t="n">
        <f aca="false">D36*E36*HrsWk</f>
        <v>1080</v>
      </c>
      <c r="G36" s="30" t="n">
        <f aca="false">F36*SUMPRODUCT(MMULT(Reference!$B$67:$G$67,PlanRates))</f>
        <v>88560</v>
      </c>
      <c r="H36" s="31" t="s">
        <v>87</v>
      </c>
      <c r="I36" s="31"/>
      <c r="J36" s="31"/>
      <c r="K36" s="3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customFormat="false" ht="15" hidden="false" customHeight="false" outlineLevel="0" collapsed="false">
      <c r="A37" s="1"/>
      <c r="B37" s="24" t="s">
        <v>88</v>
      </c>
      <c r="C37" s="1"/>
      <c r="D37" s="1"/>
      <c r="E37" s="1"/>
      <c r="F37" s="25" t="n">
        <f aca="false">SUM(PhHours)</f>
        <v>6760</v>
      </c>
      <c r="G37" s="38" t="n">
        <f aca="false">SUM(G30:G36)</f>
        <v>431696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customFormat="false" ht="15" hidden="false" customHeight="false" outlineLevel="0" collapsed="false">
      <c r="A38" s="1"/>
      <c r="B38" s="24" t="s">
        <v>89</v>
      </c>
      <c r="C38" s="1"/>
      <c r="D38" s="1"/>
      <c r="E38" s="1"/>
      <c r="F38" s="1"/>
      <c r="G38" s="38" t="n">
        <f aca="false">PlanCost</f>
        <v>431696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customFormat="false" ht="15" hidden="false" customHeight="false" outlineLevel="0" collapsed="false">
      <c r="A39" s="1"/>
      <c r="B39" s="24" t="s">
        <v>90</v>
      </c>
      <c r="C39" s="1"/>
      <c r="D39" s="1"/>
      <c r="E39" s="1"/>
      <c r="F39" s="1"/>
      <c r="G39" s="38" t="n">
        <f aca="false">PlanCost*ContPct</f>
        <v>64754.4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customFormat="false" ht="15" hidden="false" customHeight="false" outlineLevel="0" collapsed="false">
      <c r="A40" s="1"/>
      <c r="B40" s="39" t="s">
        <v>91</v>
      </c>
      <c r="C40" s="1"/>
      <c r="D40" s="1"/>
      <c r="E40" s="1"/>
      <c r="F40" s="1"/>
      <c r="G40" s="40" t="n">
        <f aca="false">PlanCost*(1+ContPct)</f>
        <v>496450.4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41" t="s">
        <v>92</v>
      </c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customFormat="false" ht="15" hidden="false" customHeight="false" outlineLevel="0" collapsed="false">
      <c r="A43" s="1"/>
      <c r="B43" s="4" t="s">
        <v>93</v>
      </c>
      <c r="C43" s="5"/>
      <c r="D43" s="5"/>
      <c r="E43" s="5"/>
      <c r="F43" s="5"/>
      <c r="G43" s="5"/>
      <c r="H43" s="5"/>
      <c r="I43" s="1"/>
      <c r="J43" s="1"/>
      <c r="K43" s="1"/>
      <c r="L43" s="1"/>
      <c r="M43" s="1"/>
      <c r="N43" s="1"/>
      <c r="O43" s="1"/>
      <c r="P43" s="1"/>
      <c r="Q43" s="1"/>
      <c r="R43" s="1"/>
      <c r="S43" s="22" t="s">
        <v>94</v>
      </c>
      <c r="T43" s="42" t="n">
        <f aca="false">SUM(S19:S23)</f>
        <v>1</v>
      </c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customFormat="false" ht="15" hidden="false" customHeight="false" outlineLevel="0" collapsed="false">
      <c r="A44" s="1"/>
      <c r="B44" s="6" t="s">
        <v>95</v>
      </c>
      <c r="C44" s="6"/>
      <c r="D44" s="6"/>
      <c r="E44" s="6"/>
      <c r="F44" s="6"/>
      <c r="G44" s="24" t="str">
        <f aca="false">IF(IFERROR(ActivePairs&gt;=1,FALSE()),"PASS","FAIL")</f>
        <v>PASS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22" t="s">
        <v>96</v>
      </c>
      <c r="T44" s="42" t="n">
        <f aca="false">SUM(AA19:AA23)</f>
        <v>600</v>
      </c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customFormat="false" ht="15" hidden="false" customHeight="false" outlineLevel="0" collapsed="false">
      <c r="A45" s="1"/>
      <c r="B45" s="6" t="s">
        <v>97</v>
      </c>
      <c r="C45" s="6"/>
      <c r="D45" s="6"/>
      <c r="E45" s="6"/>
      <c r="F45" s="6"/>
      <c r="G45" s="24" t="str">
        <f aca="false">IF(IFERROR(SUM(AD19:AD23)=0,FALSE()),"PASS","FAIL")</f>
        <v>PASS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22" t="s">
        <v>98</v>
      </c>
      <c r="T45" s="42" t="n">
        <f aca="false">SUM(AB19:AB23)</f>
        <v>480</v>
      </c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customFormat="false" ht="15" hidden="false" customHeight="false" outlineLevel="0" collapsed="false">
      <c r="A46" s="1"/>
      <c r="B46" s="6" t="s">
        <v>99</v>
      </c>
      <c r="C46" s="6"/>
      <c r="D46" s="6"/>
      <c r="E46" s="6"/>
      <c r="F46" s="6"/>
      <c r="G46" s="24" t="str">
        <f aca="false">IF(IFERROR(SUMPRODUCT(--(ABS(RoleMixTotals-1)&gt;0.0001))=0,FALSE()),"PASS","FAIL")</f>
        <v>PASS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22" t="s">
        <v>100</v>
      </c>
      <c r="T46" s="42" t="n">
        <f aca="false">SUMPRODUCT(S19:S23,M19:M23)</f>
        <v>6</v>
      </c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customFormat="false" ht="15" hidden="false" customHeight="false" outlineLevel="0" collapsed="false">
      <c r="A47" s="1"/>
      <c r="B47" s="6" t="s">
        <v>101</v>
      </c>
      <c r="C47" s="6"/>
      <c r="D47" s="6"/>
      <c r="E47" s="6"/>
      <c r="F47" s="6"/>
      <c r="G47" s="24" t="str">
        <f aca="false">IF(IFERROR(DurWeeks&lt;=52,FALSE()),"PASS","FAIL")</f>
        <v>PASS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22" t="s">
        <v>102</v>
      </c>
      <c r="T47" s="42" t="n">
        <f aca="false">SUMPRODUCT((C19:C23&lt;&gt;"")/COUNTIF(C19:C23,C19:C23&amp;""))</f>
        <v>1</v>
      </c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customFormat="false" ht="15" hidden="false" customHeight="false" outlineLevel="0" collapsed="false">
      <c r="A48" s="1"/>
      <c r="B48" s="6" t="s">
        <v>103</v>
      </c>
      <c r="C48" s="6"/>
      <c r="D48" s="6"/>
      <c r="E48" s="6"/>
      <c r="F48" s="6"/>
      <c r="G48" s="24" t="str">
        <f aca="false">IF(IFERROR(ABS(PlanHrs-EstHrs)&lt;=0.05*MAX(1,EstHrs),FALSE()),"PASS","FAIL")</f>
        <v>PASS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22" t="s">
        <v>104</v>
      </c>
      <c r="T48" s="42" t="n">
        <f aca="false">(IF(InvPages&lt;=INDEX(AnchorPages,1),INDEX(AnchorInit,1),IF(InvPages&gt;=INDEX(AnchorPages,5),INDEX(AnchorInit,5)+(InvPages-INDEX(AnchorPages,5))*(INDEX(AnchorInit,5)-INDEX(AnchorInit,4))/(INDEX(AnchorPages,5)-INDEX(AnchorPages,4)),INDEX(AnchorInit,MATCH(InvPages,AnchorPages,1))+(InvPages-INDEX(AnchorPages,MATCH(InvPages,AnchorPages,1)))*(INDEX(AnchorInit,MATCH(InvPages,AnchorPages,1)+1)-INDEX(AnchorInit,MATCH(InvPages,AnchorPages,1)))/(INDEX(AnchorPages,MATCH(InvPages,AnchorPages,1)+1)-INDEX(AnchorPages,MATCH(InvPages,AnchorPages,1)))))+SUM(AC19:AC23)+Models*AssessPerModel)*(1-Auto*CapAssess)+TargetTools*ArchPerTool+ActivePairs*ArchPerPair</f>
        <v>368</v>
      </c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22" t="s">
        <v>105</v>
      </c>
      <c r="T49" s="42" t="n">
        <f aca="false">RepHrs+ModHrs+ActivePairs*HandoverHrs+Models*SecPerModel</f>
        <v>3644.53</v>
      </c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22" t="s">
        <v>106</v>
      </c>
      <c r="T50" s="42" t="n">
        <f aca="false">MAX(1,ROUNDUP(AssessHrs/(AssessTeam*HrsWk),0))</f>
        <v>5</v>
      </c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22" t="s">
        <v>15</v>
      </c>
      <c r="T51" s="42" t="n">
        <f aca="false">MAX(1,ROUNDUP(DevHrs/(DevTeam*HrsWk)/SprintLen,0))</f>
        <v>8</v>
      </c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22" t="s">
        <v>107</v>
      </c>
      <c r="T52" s="42" t="n">
        <f aca="false">Sprints*SprintLen</f>
        <v>16</v>
      </c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22" t="s">
        <v>108</v>
      </c>
      <c r="T53" s="42" t="n">
        <f aca="false">PlanWeeks+1</f>
        <v>6</v>
      </c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22" t="s">
        <v>109</v>
      </c>
      <c r="T54" s="42" t="n">
        <f aca="false">PagesBuilt/Sprints</f>
        <v>60</v>
      </c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22" t="s">
        <v>110</v>
      </c>
      <c r="T55" s="42" t="n">
        <f aca="false">DevStart+2*SprintLen+DevWeeks-1</f>
        <v>25</v>
      </c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22" t="s">
        <v>111</v>
      </c>
      <c r="T56" s="42" t="n">
        <f aca="false">UATEnd+HCWk</f>
        <v>27</v>
      </c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22" t="s">
        <v>112</v>
      </c>
      <c r="T57" s="22" t="n">
        <f aca="false">COUNTIF(G44:G48,"FAIL")</f>
        <v>0</v>
      </c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</sheetData>
  <sheetProtection sheet="true" formatColumns="false" formatRows="false"/>
  <mergeCells count="32">
    <mergeCell ref="G5:I5"/>
    <mergeCell ref="J5:K5"/>
    <mergeCell ref="G6:I6"/>
    <mergeCell ref="J6:K6"/>
    <mergeCell ref="G7:I7"/>
    <mergeCell ref="J7:K7"/>
    <mergeCell ref="G8:I8"/>
    <mergeCell ref="J8:K8"/>
    <mergeCell ref="G9:I9"/>
    <mergeCell ref="J9:K9"/>
    <mergeCell ref="G10:I10"/>
    <mergeCell ref="J10:K10"/>
    <mergeCell ref="G11:I11"/>
    <mergeCell ref="J11:K11"/>
    <mergeCell ref="G12:I12"/>
    <mergeCell ref="J12:K12"/>
    <mergeCell ref="G13:I13"/>
    <mergeCell ref="J13:K13"/>
    <mergeCell ref="G14:I14"/>
    <mergeCell ref="J14:K14"/>
    <mergeCell ref="H30:K30"/>
    <mergeCell ref="H31:K31"/>
    <mergeCell ref="H32:K32"/>
    <mergeCell ref="H33:K33"/>
    <mergeCell ref="H34:K34"/>
    <mergeCell ref="H35:K35"/>
    <mergeCell ref="H36:K36"/>
    <mergeCell ref="B44:F44"/>
    <mergeCell ref="B45:F45"/>
    <mergeCell ref="B46:F46"/>
    <mergeCell ref="B47:F47"/>
    <mergeCell ref="B48:F48"/>
  </mergeCells>
  <conditionalFormatting sqref="J14">
    <cfRule type="expression" priority="2" aboveAverage="0" equalAverage="0" bottom="0" percent="0" rank="0" text="" dxfId="0">
      <formula>CheckFails=0</formula>
    </cfRule>
    <cfRule type="expression" priority="3" aboveAverage="0" equalAverage="0" bottom="0" percent="0" rank="0" text="" dxfId="1">
      <formula>CheckFails&gt;0</formula>
    </cfRule>
  </conditionalFormatting>
  <conditionalFormatting sqref="G44:G48">
    <cfRule type="cellIs" priority="4" operator="equal" aboveAverage="0" equalAverage="0" bottom="0" percent="0" rank="0" text="" dxfId="0">
      <formula>"PASS"</formula>
    </cfRule>
    <cfRule type="cellIs" priority="5" operator="equal" aboveAverage="0" equalAverage="0" bottom="0" percent="0" rank="0" text="" dxfId="1">
      <formula>"FAIL"</formula>
    </cfRule>
  </conditionalFormatting>
  <dataValidations count="12">
    <dataValidation allowBlank="true" errorStyle="stop" operator="between" showDropDown="false" showErrorMessage="true" showInputMessage="false" sqref="C8" type="list">
      <formula1>SprintLens</formula1>
      <formula2>0</formula2>
    </dataValidation>
    <dataValidation allowBlank="true" errorStyle="stop" operator="between" showDropDown="false" showErrorMessage="true" showInputMessage="false" sqref="C13:C14" type="list">
      <formula1>YesNo</formula1>
      <formula2>0</formula2>
    </dataValidation>
    <dataValidation allowBlank="true" error="Enter a value between 0.5 and 100." errorStyle="stop" operator="between" showDropDown="false" showErrorMessage="true" showInputMessage="false" sqref="C9:C10" type="decimal">
      <formula1>0.5</formula1>
      <formula2>100</formula2>
    </dataValidation>
    <dataValidation allowBlank="true" error="Enter a value between 0 and 1." errorStyle="stop" operator="between" showDropDown="false" showErrorMessage="true" showInputMessage="false" sqref="C11:C12 H19:L23" type="decimal">
      <formula1>0</formula1>
      <formula2>1</formula2>
    </dataValidation>
    <dataValidation allowBlank="true" error="Enter a value between 0 and 26." errorStyle="stop" operator="between" showDropDown="false" showErrorMessage="true" showInputMessage="false" sqref="C15" type="decimal">
      <formula1>0</formula1>
      <formula2>26</formula2>
    </dataValidation>
    <dataValidation allowBlank="true" errorStyle="stop" operator="between" showDropDown="false" showErrorMessage="false" showInputMessage="false" sqref="B19:C23" type="list">
      <formula1>ToolNames</formula1>
      <formula2>0</formula2>
    </dataValidation>
    <dataValidation allowBlank="true" errorStyle="stop" operator="between" showDropDown="false" showErrorMessage="true" showInputMessage="false" sqref="D19:D23" type="list">
      <formula1>YesNo</formula1>
      <formula2>0</formula2>
    </dataValidation>
    <dataValidation allowBlank="true" errorStyle="stop" operator="between" showDropDown="false" showErrorMessage="true" showInputMessage="false" sqref="G19:G23" type="list">
      <formula1>ProfileNames</formula1>
      <formula2>0</formula2>
    </dataValidation>
    <dataValidation allowBlank="true" errorStyle="stop" operator="between" showDropDown="false" showErrorMessage="true" showInputMessage="false" sqref="N19:N23" type="list">
      <formula1>"Simple,Medium,Complex,Very complex"</formula1>
      <formula2>0</formula2>
    </dataValidation>
    <dataValidation allowBlank="true" error="Enter a value between 1 and 100." errorStyle="stop" operator="between" showDropDown="false" showErrorMessage="true" showInputMessage="false" sqref="F19:F23" type="decimal">
      <formula1>1</formula1>
      <formula2>100</formula2>
    </dataValidation>
    <dataValidation allowBlank="true" error="Enter a value between 0 and 1000000." errorStyle="stop" operator="between" showDropDown="false" showErrorMessage="true" showInputMessage="false" sqref="E19:E23" type="decimal">
      <formula1>0</formula1>
      <formula2>1000000</formula2>
    </dataValidation>
    <dataValidation allowBlank="true" error="Enter a value between 0 and 10000." errorStyle="stop" operator="between" showDropDown="false" showErrorMessage="true" showInputMessage="false" sqref="M19:M23" type="decimal">
      <formula1>0</formula1>
      <formula2>10000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54" min="3" style="0" width="5.51"/>
    <col collapsed="false" customWidth="true" hidden="false" outlineLevel="0" max="55" min="55" style="0" width="12"/>
    <col collapsed="false" customWidth="true" hidden="false" outlineLevel="0" max="56" min="56" style="0" width="10"/>
    <col collapsed="false" customWidth="true" hidden="false" outlineLevel="0" max="57" min="57" style="0" width="13"/>
  </cols>
  <sheetData>
    <row r="1" customFormat="false" ht="19.7" hidden="false" customHeight="false" outlineLevel="0" collapsed="false">
      <c r="A1" s="2" t="str">
        <f aca="false">"Delivery plan - "&amp;Client</f>
        <v>Delivery plan - Example Client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customFormat="false" ht="15" hidden="false" customHeight="false" outlineLevel="0" collapsed="false">
      <c r="A2" s="3" t="s">
        <v>113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customFormat="false" ht="15" hidden="false" customHeight="false" outlineLevel="0" collapsed="false">
      <c r="A4" s="43" t="s">
        <v>114</v>
      </c>
      <c r="B4" s="1"/>
      <c r="C4" s="44" t="str">
        <f aca="false">IF(AND(MOD(0,SprintLen)=0,1&lt;=DurWeeks),"S"&amp;(0/SprintLen+1),"")</f>
        <v>S1</v>
      </c>
      <c r="D4" s="44" t="str">
        <f aca="false">IF(AND(MOD(1,SprintLen)=0,2&lt;=DurWeeks),"S"&amp;(1/SprintLen+1),"")</f>
        <v/>
      </c>
      <c r="E4" s="44" t="str">
        <f aca="false">IF(AND(MOD(2,SprintLen)=0,3&lt;=DurWeeks),"S"&amp;(2/SprintLen+1),"")</f>
        <v>S2</v>
      </c>
      <c r="F4" s="44" t="str">
        <f aca="false">IF(AND(MOD(3,SprintLen)=0,4&lt;=DurWeeks),"S"&amp;(3/SprintLen+1),"")</f>
        <v/>
      </c>
      <c r="G4" s="44" t="str">
        <f aca="false">IF(AND(MOD(4,SprintLen)=0,5&lt;=DurWeeks),"S"&amp;(4/SprintLen+1),"")</f>
        <v>S3</v>
      </c>
      <c r="H4" s="44" t="str">
        <f aca="false">IF(AND(MOD(5,SprintLen)=0,6&lt;=DurWeeks),"S"&amp;(5/SprintLen+1),"")</f>
        <v/>
      </c>
      <c r="I4" s="44" t="str">
        <f aca="false">IF(AND(MOD(6,SprintLen)=0,7&lt;=DurWeeks),"S"&amp;(6/SprintLen+1),"")</f>
        <v>S4</v>
      </c>
      <c r="J4" s="44" t="str">
        <f aca="false">IF(AND(MOD(7,SprintLen)=0,8&lt;=DurWeeks),"S"&amp;(7/SprintLen+1),"")</f>
        <v/>
      </c>
      <c r="K4" s="44" t="str">
        <f aca="false">IF(AND(MOD(8,SprintLen)=0,9&lt;=DurWeeks),"S"&amp;(8/SprintLen+1),"")</f>
        <v>S5</v>
      </c>
      <c r="L4" s="44" t="str">
        <f aca="false">IF(AND(MOD(9,SprintLen)=0,10&lt;=DurWeeks),"S"&amp;(9/SprintLen+1),"")</f>
        <v/>
      </c>
      <c r="M4" s="44" t="str">
        <f aca="false">IF(AND(MOD(10,SprintLen)=0,11&lt;=DurWeeks),"S"&amp;(10/SprintLen+1),"")</f>
        <v>S6</v>
      </c>
      <c r="N4" s="44" t="str">
        <f aca="false">IF(AND(MOD(11,SprintLen)=0,12&lt;=DurWeeks),"S"&amp;(11/SprintLen+1),"")</f>
        <v/>
      </c>
      <c r="O4" s="44" t="str">
        <f aca="false">IF(AND(MOD(12,SprintLen)=0,13&lt;=DurWeeks),"S"&amp;(12/SprintLen+1),"")</f>
        <v>S7</v>
      </c>
      <c r="P4" s="44" t="str">
        <f aca="false">IF(AND(MOD(13,SprintLen)=0,14&lt;=DurWeeks),"S"&amp;(13/SprintLen+1),"")</f>
        <v/>
      </c>
      <c r="Q4" s="44" t="str">
        <f aca="false">IF(AND(MOD(14,SprintLen)=0,15&lt;=DurWeeks),"S"&amp;(14/SprintLen+1),"")</f>
        <v>S8</v>
      </c>
      <c r="R4" s="44" t="str">
        <f aca="false">IF(AND(MOD(15,SprintLen)=0,16&lt;=DurWeeks),"S"&amp;(15/SprintLen+1),"")</f>
        <v/>
      </c>
      <c r="S4" s="44" t="str">
        <f aca="false">IF(AND(MOD(16,SprintLen)=0,17&lt;=DurWeeks),"S"&amp;(16/SprintLen+1),"")</f>
        <v>S9</v>
      </c>
      <c r="T4" s="44" t="str">
        <f aca="false">IF(AND(MOD(17,SprintLen)=0,18&lt;=DurWeeks),"S"&amp;(17/SprintLen+1),"")</f>
        <v/>
      </c>
      <c r="U4" s="44" t="str">
        <f aca="false">IF(AND(MOD(18,SprintLen)=0,19&lt;=DurWeeks),"S"&amp;(18/SprintLen+1),"")</f>
        <v>S10</v>
      </c>
      <c r="V4" s="44" t="str">
        <f aca="false">IF(AND(MOD(19,SprintLen)=0,20&lt;=DurWeeks),"S"&amp;(19/SprintLen+1),"")</f>
        <v/>
      </c>
      <c r="W4" s="44" t="str">
        <f aca="false">IF(AND(MOD(20,SprintLen)=0,21&lt;=DurWeeks),"S"&amp;(20/SprintLen+1),"")</f>
        <v>S11</v>
      </c>
      <c r="X4" s="44" t="str">
        <f aca="false">IF(AND(MOD(21,SprintLen)=0,22&lt;=DurWeeks),"S"&amp;(21/SprintLen+1),"")</f>
        <v/>
      </c>
      <c r="Y4" s="44" t="str">
        <f aca="false">IF(AND(MOD(22,SprintLen)=0,23&lt;=DurWeeks),"S"&amp;(22/SprintLen+1),"")</f>
        <v>S12</v>
      </c>
      <c r="Z4" s="44" t="str">
        <f aca="false">IF(AND(MOD(23,SprintLen)=0,24&lt;=DurWeeks),"S"&amp;(23/SprintLen+1),"")</f>
        <v/>
      </c>
      <c r="AA4" s="44" t="str">
        <f aca="false">IF(AND(MOD(24,SprintLen)=0,25&lt;=DurWeeks),"S"&amp;(24/SprintLen+1),"")</f>
        <v>S13</v>
      </c>
      <c r="AB4" s="44" t="str">
        <f aca="false">IF(AND(MOD(25,SprintLen)=0,26&lt;=DurWeeks),"S"&amp;(25/SprintLen+1),"")</f>
        <v/>
      </c>
      <c r="AC4" s="44" t="str">
        <f aca="false">IF(AND(MOD(26,SprintLen)=0,27&lt;=DurWeeks),"S"&amp;(26/SprintLen+1),"")</f>
        <v>S14</v>
      </c>
      <c r="AD4" s="44" t="str">
        <f aca="false">IF(AND(MOD(27,SprintLen)=0,28&lt;=DurWeeks),"S"&amp;(27/SprintLen+1),"")</f>
        <v/>
      </c>
      <c r="AE4" s="44" t="str">
        <f aca="false">IF(AND(MOD(28,SprintLen)=0,29&lt;=DurWeeks),"S"&amp;(28/SprintLen+1),"")</f>
        <v/>
      </c>
      <c r="AF4" s="44" t="str">
        <f aca="false">IF(AND(MOD(29,SprintLen)=0,30&lt;=DurWeeks),"S"&amp;(29/SprintLen+1),"")</f>
        <v/>
      </c>
      <c r="AG4" s="44" t="str">
        <f aca="false">IF(AND(MOD(30,SprintLen)=0,31&lt;=DurWeeks),"S"&amp;(30/SprintLen+1),"")</f>
        <v/>
      </c>
      <c r="AH4" s="44" t="str">
        <f aca="false">IF(AND(MOD(31,SprintLen)=0,32&lt;=DurWeeks),"S"&amp;(31/SprintLen+1),"")</f>
        <v/>
      </c>
      <c r="AI4" s="44" t="str">
        <f aca="false">IF(AND(MOD(32,SprintLen)=0,33&lt;=DurWeeks),"S"&amp;(32/SprintLen+1),"")</f>
        <v/>
      </c>
      <c r="AJ4" s="44" t="str">
        <f aca="false">IF(AND(MOD(33,SprintLen)=0,34&lt;=DurWeeks),"S"&amp;(33/SprintLen+1),"")</f>
        <v/>
      </c>
      <c r="AK4" s="44" t="str">
        <f aca="false">IF(AND(MOD(34,SprintLen)=0,35&lt;=DurWeeks),"S"&amp;(34/SprintLen+1),"")</f>
        <v/>
      </c>
      <c r="AL4" s="44" t="str">
        <f aca="false">IF(AND(MOD(35,SprintLen)=0,36&lt;=DurWeeks),"S"&amp;(35/SprintLen+1),"")</f>
        <v/>
      </c>
      <c r="AM4" s="44" t="str">
        <f aca="false">IF(AND(MOD(36,SprintLen)=0,37&lt;=DurWeeks),"S"&amp;(36/SprintLen+1),"")</f>
        <v/>
      </c>
      <c r="AN4" s="44" t="str">
        <f aca="false">IF(AND(MOD(37,SprintLen)=0,38&lt;=DurWeeks),"S"&amp;(37/SprintLen+1),"")</f>
        <v/>
      </c>
      <c r="AO4" s="44" t="str">
        <f aca="false">IF(AND(MOD(38,SprintLen)=0,39&lt;=DurWeeks),"S"&amp;(38/SprintLen+1),"")</f>
        <v/>
      </c>
      <c r="AP4" s="44" t="str">
        <f aca="false">IF(AND(MOD(39,SprintLen)=0,40&lt;=DurWeeks),"S"&amp;(39/SprintLen+1),"")</f>
        <v/>
      </c>
      <c r="AQ4" s="44" t="str">
        <f aca="false">IF(AND(MOD(40,SprintLen)=0,41&lt;=DurWeeks),"S"&amp;(40/SprintLen+1),"")</f>
        <v/>
      </c>
      <c r="AR4" s="44" t="str">
        <f aca="false">IF(AND(MOD(41,SprintLen)=0,42&lt;=DurWeeks),"S"&amp;(41/SprintLen+1),"")</f>
        <v/>
      </c>
      <c r="AS4" s="44" t="str">
        <f aca="false">IF(AND(MOD(42,SprintLen)=0,43&lt;=DurWeeks),"S"&amp;(42/SprintLen+1),"")</f>
        <v/>
      </c>
      <c r="AT4" s="44" t="str">
        <f aca="false">IF(AND(MOD(43,SprintLen)=0,44&lt;=DurWeeks),"S"&amp;(43/SprintLen+1),"")</f>
        <v/>
      </c>
      <c r="AU4" s="44" t="str">
        <f aca="false">IF(AND(MOD(44,SprintLen)=0,45&lt;=DurWeeks),"S"&amp;(44/SprintLen+1),"")</f>
        <v/>
      </c>
      <c r="AV4" s="44" t="str">
        <f aca="false">IF(AND(MOD(45,SprintLen)=0,46&lt;=DurWeeks),"S"&amp;(45/SprintLen+1),"")</f>
        <v/>
      </c>
      <c r="AW4" s="44" t="str">
        <f aca="false">IF(AND(MOD(46,SprintLen)=0,47&lt;=DurWeeks),"S"&amp;(46/SprintLen+1),"")</f>
        <v/>
      </c>
      <c r="AX4" s="44" t="str">
        <f aca="false">IF(AND(MOD(47,SprintLen)=0,48&lt;=DurWeeks),"S"&amp;(47/SprintLen+1),"")</f>
        <v/>
      </c>
      <c r="AY4" s="44" t="str">
        <f aca="false">IF(AND(MOD(48,SprintLen)=0,49&lt;=DurWeeks),"S"&amp;(48/SprintLen+1),"")</f>
        <v/>
      </c>
      <c r="AZ4" s="44" t="str">
        <f aca="false">IF(AND(MOD(49,SprintLen)=0,50&lt;=DurWeeks),"S"&amp;(49/SprintLen+1),"")</f>
        <v/>
      </c>
      <c r="BA4" s="44" t="str">
        <f aca="false">IF(AND(MOD(50,SprintLen)=0,51&lt;=DurWeeks),"S"&amp;(50/SprintLen+1),"")</f>
        <v/>
      </c>
      <c r="BB4" s="44" t="str">
        <f aca="false">IF(AND(MOD(51,SprintLen)=0,52&lt;=DurWeeks),"S"&amp;(51/SprintLen+1),"")</f>
        <v/>
      </c>
      <c r="BC4" s="1"/>
      <c r="BD4" s="1"/>
      <c r="BE4" s="1"/>
    </row>
    <row r="5" customFormat="false" ht="15" hidden="false" customHeight="false" outlineLevel="0" collapsed="false">
      <c r="A5" s="43" t="s">
        <v>115</v>
      </c>
      <c r="B5" s="1"/>
      <c r="C5" s="44" t="s">
        <v>116</v>
      </c>
      <c r="D5" s="44" t="s">
        <v>117</v>
      </c>
      <c r="E5" s="44" t="s">
        <v>118</v>
      </c>
      <c r="F5" s="44" t="s">
        <v>119</v>
      </c>
      <c r="G5" s="44" t="s">
        <v>120</v>
      </c>
      <c r="H5" s="44" t="s">
        <v>121</v>
      </c>
      <c r="I5" s="44" t="s">
        <v>122</v>
      </c>
      <c r="J5" s="44" t="s">
        <v>123</v>
      </c>
      <c r="K5" s="44" t="s">
        <v>124</v>
      </c>
      <c r="L5" s="44" t="s">
        <v>125</v>
      </c>
      <c r="M5" s="44" t="s">
        <v>126</v>
      </c>
      <c r="N5" s="44" t="s">
        <v>127</v>
      </c>
      <c r="O5" s="44" t="s">
        <v>128</v>
      </c>
      <c r="P5" s="44" t="s">
        <v>129</v>
      </c>
      <c r="Q5" s="44" t="s">
        <v>130</v>
      </c>
      <c r="R5" s="44" t="s">
        <v>131</v>
      </c>
      <c r="S5" s="44" t="s">
        <v>132</v>
      </c>
      <c r="T5" s="44" t="s">
        <v>133</v>
      </c>
      <c r="U5" s="44" t="s">
        <v>134</v>
      </c>
      <c r="V5" s="44" t="s">
        <v>135</v>
      </c>
      <c r="W5" s="44" t="s">
        <v>136</v>
      </c>
      <c r="X5" s="44" t="s">
        <v>137</v>
      </c>
      <c r="Y5" s="44" t="s">
        <v>138</v>
      </c>
      <c r="Z5" s="44" t="s">
        <v>139</v>
      </c>
      <c r="AA5" s="44" t="s">
        <v>140</v>
      </c>
      <c r="AB5" s="44" t="s">
        <v>141</v>
      </c>
      <c r="AC5" s="44" t="s">
        <v>142</v>
      </c>
      <c r="AD5" s="44" t="s">
        <v>143</v>
      </c>
      <c r="AE5" s="44" t="s">
        <v>144</v>
      </c>
      <c r="AF5" s="44" t="s">
        <v>145</v>
      </c>
      <c r="AG5" s="44" t="s">
        <v>146</v>
      </c>
      <c r="AH5" s="44" t="s">
        <v>147</v>
      </c>
      <c r="AI5" s="44" t="s">
        <v>148</v>
      </c>
      <c r="AJ5" s="44" t="s">
        <v>149</v>
      </c>
      <c r="AK5" s="44" t="s">
        <v>150</v>
      </c>
      <c r="AL5" s="44" t="s">
        <v>151</v>
      </c>
      <c r="AM5" s="44" t="s">
        <v>152</v>
      </c>
      <c r="AN5" s="44" t="s">
        <v>153</v>
      </c>
      <c r="AO5" s="44" t="s">
        <v>154</v>
      </c>
      <c r="AP5" s="44" t="s">
        <v>155</v>
      </c>
      <c r="AQ5" s="44" t="s">
        <v>156</v>
      </c>
      <c r="AR5" s="44" t="s">
        <v>157</v>
      </c>
      <c r="AS5" s="44" t="s">
        <v>158</v>
      </c>
      <c r="AT5" s="44" t="s">
        <v>159</v>
      </c>
      <c r="AU5" s="44" t="s">
        <v>160</v>
      </c>
      <c r="AV5" s="44" t="s">
        <v>161</v>
      </c>
      <c r="AW5" s="44" t="s">
        <v>162</v>
      </c>
      <c r="AX5" s="44" t="s">
        <v>163</v>
      </c>
      <c r="AY5" s="44" t="s">
        <v>164</v>
      </c>
      <c r="AZ5" s="44" t="s">
        <v>165</v>
      </c>
      <c r="BA5" s="44" t="s">
        <v>166</v>
      </c>
      <c r="BB5" s="44" t="s">
        <v>167</v>
      </c>
      <c r="BC5" s="1"/>
      <c r="BD5" s="1"/>
      <c r="BE5" s="1"/>
    </row>
    <row r="6" customFormat="false" ht="19.4" hidden="false" customHeight="false" outlineLevel="0" collapsed="false">
      <c r="A6" s="45" t="s">
        <v>168</v>
      </c>
      <c r="B6" s="1"/>
      <c r="C6" s="46" t="n">
        <f aca="false">StartDate+0*7</f>
        <v>46391</v>
      </c>
      <c r="D6" s="46" t="n">
        <f aca="false">StartDate+1*7</f>
        <v>46398</v>
      </c>
      <c r="E6" s="46" t="n">
        <f aca="false">StartDate+2*7</f>
        <v>46405</v>
      </c>
      <c r="F6" s="46" t="n">
        <f aca="false">StartDate+3*7</f>
        <v>46412</v>
      </c>
      <c r="G6" s="46" t="n">
        <f aca="false">StartDate+4*7</f>
        <v>46419</v>
      </c>
      <c r="H6" s="46" t="n">
        <f aca="false">StartDate+5*7</f>
        <v>46426</v>
      </c>
      <c r="I6" s="46" t="n">
        <f aca="false">StartDate+6*7</f>
        <v>46433</v>
      </c>
      <c r="J6" s="46" t="n">
        <f aca="false">StartDate+7*7</f>
        <v>46440</v>
      </c>
      <c r="K6" s="46" t="n">
        <f aca="false">StartDate+8*7</f>
        <v>46447</v>
      </c>
      <c r="L6" s="46" t="n">
        <f aca="false">StartDate+9*7</f>
        <v>46454</v>
      </c>
      <c r="M6" s="46" t="n">
        <f aca="false">StartDate+10*7</f>
        <v>46461</v>
      </c>
      <c r="N6" s="46" t="n">
        <f aca="false">StartDate+11*7</f>
        <v>46468</v>
      </c>
      <c r="O6" s="46" t="n">
        <f aca="false">StartDate+12*7</f>
        <v>46475</v>
      </c>
      <c r="P6" s="46" t="n">
        <f aca="false">StartDate+13*7</f>
        <v>46482</v>
      </c>
      <c r="Q6" s="46" t="n">
        <f aca="false">StartDate+14*7</f>
        <v>46489</v>
      </c>
      <c r="R6" s="46" t="n">
        <f aca="false">StartDate+15*7</f>
        <v>46496</v>
      </c>
      <c r="S6" s="46" t="n">
        <f aca="false">StartDate+16*7</f>
        <v>46503</v>
      </c>
      <c r="T6" s="46" t="n">
        <f aca="false">StartDate+17*7</f>
        <v>46510</v>
      </c>
      <c r="U6" s="46" t="n">
        <f aca="false">StartDate+18*7</f>
        <v>46517</v>
      </c>
      <c r="V6" s="46" t="n">
        <f aca="false">StartDate+19*7</f>
        <v>46524</v>
      </c>
      <c r="W6" s="46" t="n">
        <f aca="false">StartDate+20*7</f>
        <v>46531</v>
      </c>
      <c r="X6" s="46" t="n">
        <f aca="false">StartDate+21*7</f>
        <v>46538</v>
      </c>
      <c r="Y6" s="46" t="n">
        <f aca="false">StartDate+22*7</f>
        <v>46545</v>
      </c>
      <c r="Z6" s="46" t="n">
        <f aca="false">StartDate+23*7</f>
        <v>46552</v>
      </c>
      <c r="AA6" s="46" t="n">
        <f aca="false">StartDate+24*7</f>
        <v>46559</v>
      </c>
      <c r="AB6" s="46" t="n">
        <f aca="false">StartDate+25*7</f>
        <v>46566</v>
      </c>
      <c r="AC6" s="46" t="n">
        <f aca="false">StartDate+26*7</f>
        <v>46573</v>
      </c>
      <c r="AD6" s="46" t="n">
        <f aca="false">StartDate+27*7</f>
        <v>46580</v>
      </c>
      <c r="AE6" s="46" t="n">
        <f aca="false">StartDate+28*7</f>
        <v>46587</v>
      </c>
      <c r="AF6" s="46" t="n">
        <f aca="false">StartDate+29*7</f>
        <v>46594</v>
      </c>
      <c r="AG6" s="46" t="n">
        <f aca="false">StartDate+30*7</f>
        <v>46601</v>
      </c>
      <c r="AH6" s="46" t="n">
        <f aca="false">StartDate+31*7</f>
        <v>46608</v>
      </c>
      <c r="AI6" s="46" t="n">
        <f aca="false">StartDate+32*7</f>
        <v>46615</v>
      </c>
      <c r="AJ6" s="46" t="n">
        <f aca="false">StartDate+33*7</f>
        <v>46622</v>
      </c>
      <c r="AK6" s="46" t="n">
        <f aca="false">StartDate+34*7</f>
        <v>46629</v>
      </c>
      <c r="AL6" s="46" t="n">
        <f aca="false">StartDate+35*7</f>
        <v>46636</v>
      </c>
      <c r="AM6" s="46" t="n">
        <f aca="false">StartDate+36*7</f>
        <v>46643</v>
      </c>
      <c r="AN6" s="46" t="n">
        <f aca="false">StartDate+37*7</f>
        <v>46650</v>
      </c>
      <c r="AO6" s="46" t="n">
        <f aca="false">StartDate+38*7</f>
        <v>46657</v>
      </c>
      <c r="AP6" s="46" t="n">
        <f aca="false">StartDate+39*7</f>
        <v>46664</v>
      </c>
      <c r="AQ6" s="46" t="n">
        <f aca="false">StartDate+40*7</f>
        <v>46671</v>
      </c>
      <c r="AR6" s="46" t="n">
        <f aca="false">StartDate+41*7</f>
        <v>46678</v>
      </c>
      <c r="AS6" s="46" t="n">
        <f aca="false">StartDate+42*7</f>
        <v>46685</v>
      </c>
      <c r="AT6" s="46" t="n">
        <f aca="false">StartDate+43*7</f>
        <v>46692</v>
      </c>
      <c r="AU6" s="46" t="n">
        <f aca="false">StartDate+44*7</f>
        <v>46699</v>
      </c>
      <c r="AV6" s="46" t="n">
        <f aca="false">StartDate+45*7</f>
        <v>46706</v>
      </c>
      <c r="AW6" s="46" t="n">
        <f aca="false">StartDate+46*7</f>
        <v>46713</v>
      </c>
      <c r="AX6" s="46" t="n">
        <f aca="false">StartDate+47*7</f>
        <v>46720</v>
      </c>
      <c r="AY6" s="46" t="n">
        <f aca="false">StartDate+48*7</f>
        <v>46727</v>
      </c>
      <c r="AZ6" s="46" t="n">
        <f aca="false">StartDate+49*7</f>
        <v>46734</v>
      </c>
      <c r="BA6" s="46" t="n">
        <f aca="false">StartDate+50*7</f>
        <v>46741</v>
      </c>
      <c r="BB6" s="46" t="n">
        <f aca="false">StartDate+51*7</f>
        <v>46748</v>
      </c>
      <c r="BC6" s="1"/>
      <c r="BD6" s="1"/>
      <c r="BE6" s="1"/>
    </row>
    <row r="7" customFormat="false" ht="15" hidden="false" customHeight="false" outlineLevel="0" collapsed="false">
      <c r="A7" s="47" t="s">
        <v>169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</row>
    <row r="8" customFormat="false" ht="15" hidden="false" customHeight="false" outlineLevel="0" collapsed="false">
      <c r="A8" s="26" t="s">
        <v>74</v>
      </c>
      <c r="B8" s="1"/>
      <c r="C8" s="48" t="n">
        <f aca="false">IF(AND(1&gt;=INDEX(PhStart,1),1&lt;INDEX(PhStart,1)+INDEX(PhWeeks,1)),INDEX(PhFTE,1),0)</f>
        <v>2</v>
      </c>
      <c r="D8" s="48" t="n">
        <f aca="false">IF(AND(2&gt;=INDEX(PhStart,1),2&lt;INDEX(PhStart,1)+INDEX(PhWeeks,1)),INDEX(PhFTE,1),0)</f>
        <v>2</v>
      </c>
      <c r="E8" s="48" t="n">
        <f aca="false">IF(AND(3&gt;=INDEX(PhStart,1),3&lt;INDEX(PhStart,1)+INDEX(PhWeeks,1)),INDEX(PhFTE,1),0)</f>
        <v>2</v>
      </c>
      <c r="F8" s="48" t="n">
        <f aca="false">IF(AND(4&gt;=INDEX(PhStart,1),4&lt;INDEX(PhStart,1)+INDEX(PhWeeks,1)),INDEX(PhFTE,1),0)</f>
        <v>2</v>
      </c>
      <c r="G8" s="48" t="n">
        <f aca="false">IF(AND(5&gt;=INDEX(PhStart,1),5&lt;INDEX(PhStart,1)+INDEX(PhWeeks,1)),INDEX(PhFTE,1),0)</f>
        <v>2</v>
      </c>
      <c r="H8" s="48" t="n">
        <f aca="false">IF(AND(6&gt;=INDEX(PhStart,1),6&lt;INDEX(PhStart,1)+INDEX(PhWeeks,1)),INDEX(PhFTE,1),0)</f>
        <v>0</v>
      </c>
      <c r="I8" s="48" t="n">
        <f aca="false">IF(AND(7&gt;=INDEX(PhStart,1),7&lt;INDEX(PhStart,1)+INDEX(PhWeeks,1)),INDEX(PhFTE,1),0)</f>
        <v>0</v>
      </c>
      <c r="J8" s="48" t="n">
        <f aca="false">IF(AND(8&gt;=INDEX(PhStart,1),8&lt;INDEX(PhStart,1)+INDEX(PhWeeks,1)),INDEX(PhFTE,1),0)</f>
        <v>0</v>
      </c>
      <c r="K8" s="48" t="n">
        <f aca="false">IF(AND(9&gt;=INDEX(PhStart,1),9&lt;INDEX(PhStart,1)+INDEX(PhWeeks,1)),INDEX(PhFTE,1),0)</f>
        <v>0</v>
      </c>
      <c r="L8" s="48" t="n">
        <f aca="false">IF(AND(10&gt;=INDEX(PhStart,1),10&lt;INDEX(PhStart,1)+INDEX(PhWeeks,1)),INDEX(PhFTE,1),0)</f>
        <v>0</v>
      </c>
      <c r="M8" s="48" t="n">
        <f aca="false">IF(AND(11&gt;=INDEX(PhStart,1),11&lt;INDEX(PhStart,1)+INDEX(PhWeeks,1)),INDEX(PhFTE,1),0)</f>
        <v>0</v>
      </c>
      <c r="N8" s="48" t="n">
        <f aca="false">IF(AND(12&gt;=INDEX(PhStart,1),12&lt;INDEX(PhStart,1)+INDEX(PhWeeks,1)),INDEX(PhFTE,1),0)</f>
        <v>0</v>
      </c>
      <c r="O8" s="48" t="n">
        <f aca="false">IF(AND(13&gt;=INDEX(PhStart,1),13&lt;INDEX(PhStart,1)+INDEX(PhWeeks,1)),INDEX(PhFTE,1),0)</f>
        <v>0</v>
      </c>
      <c r="P8" s="48" t="n">
        <f aca="false">IF(AND(14&gt;=INDEX(PhStart,1),14&lt;INDEX(PhStart,1)+INDEX(PhWeeks,1)),INDEX(PhFTE,1),0)</f>
        <v>0</v>
      </c>
      <c r="Q8" s="48" t="n">
        <f aca="false">IF(AND(15&gt;=INDEX(PhStart,1),15&lt;INDEX(PhStart,1)+INDEX(PhWeeks,1)),INDEX(PhFTE,1),0)</f>
        <v>0</v>
      </c>
      <c r="R8" s="48" t="n">
        <f aca="false">IF(AND(16&gt;=INDEX(PhStart,1),16&lt;INDEX(PhStart,1)+INDEX(PhWeeks,1)),INDEX(PhFTE,1),0)</f>
        <v>0</v>
      </c>
      <c r="S8" s="48" t="n">
        <f aca="false">IF(AND(17&gt;=INDEX(PhStart,1),17&lt;INDEX(PhStart,1)+INDEX(PhWeeks,1)),INDEX(PhFTE,1),0)</f>
        <v>0</v>
      </c>
      <c r="T8" s="48" t="n">
        <f aca="false">IF(AND(18&gt;=INDEX(PhStart,1),18&lt;INDEX(PhStart,1)+INDEX(PhWeeks,1)),INDEX(PhFTE,1),0)</f>
        <v>0</v>
      </c>
      <c r="U8" s="48" t="n">
        <f aca="false">IF(AND(19&gt;=INDEX(PhStart,1),19&lt;INDEX(PhStart,1)+INDEX(PhWeeks,1)),INDEX(PhFTE,1),0)</f>
        <v>0</v>
      </c>
      <c r="V8" s="48" t="n">
        <f aca="false">IF(AND(20&gt;=INDEX(PhStart,1),20&lt;INDEX(PhStart,1)+INDEX(PhWeeks,1)),INDEX(PhFTE,1),0)</f>
        <v>0</v>
      </c>
      <c r="W8" s="48" t="n">
        <f aca="false">IF(AND(21&gt;=INDEX(PhStart,1),21&lt;INDEX(PhStart,1)+INDEX(PhWeeks,1)),INDEX(PhFTE,1),0)</f>
        <v>0</v>
      </c>
      <c r="X8" s="48" t="n">
        <f aca="false">IF(AND(22&gt;=INDEX(PhStart,1),22&lt;INDEX(PhStart,1)+INDEX(PhWeeks,1)),INDEX(PhFTE,1),0)</f>
        <v>0</v>
      </c>
      <c r="Y8" s="48" t="n">
        <f aca="false">IF(AND(23&gt;=INDEX(PhStart,1),23&lt;INDEX(PhStart,1)+INDEX(PhWeeks,1)),INDEX(PhFTE,1),0)</f>
        <v>0</v>
      </c>
      <c r="Z8" s="48" t="n">
        <f aca="false">IF(AND(24&gt;=INDEX(PhStart,1),24&lt;INDEX(PhStart,1)+INDEX(PhWeeks,1)),INDEX(PhFTE,1),0)</f>
        <v>0</v>
      </c>
      <c r="AA8" s="48" t="n">
        <f aca="false">IF(AND(25&gt;=INDEX(PhStart,1),25&lt;INDEX(PhStart,1)+INDEX(PhWeeks,1)),INDEX(PhFTE,1),0)</f>
        <v>0</v>
      </c>
      <c r="AB8" s="48" t="n">
        <f aca="false">IF(AND(26&gt;=INDEX(PhStart,1),26&lt;INDEX(PhStart,1)+INDEX(PhWeeks,1)),INDEX(PhFTE,1),0)</f>
        <v>0</v>
      </c>
      <c r="AC8" s="48" t="n">
        <f aca="false">IF(AND(27&gt;=INDEX(PhStart,1),27&lt;INDEX(PhStart,1)+INDEX(PhWeeks,1)),INDEX(PhFTE,1),0)</f>
        <v>0</v>
      </c>
      <c r="AD8" s="48" t="n">
        <f aca="false">IF(AND(28&gt;=INDEX(PhStart,1),28&lt;INDEX(PhStart,1)+INDEX(PhWeeks,1)),INDEX(PhFTE,1),0)</f>
        <v>0</v>
      </c>
      <c r="AE8" s="48" t="n">
        <f aca="false">IF(AND(29&gt;=INDEX(PhStart,1),29&lt;INDEX(PhStart,1)+INDEX(PhWeeks,1)),INDEX(PhFTE,1),0)</f>
        <v>0</v>
      </c>
      <c r="AF8" s="48" t="n">
        <f aca="false">IF(AND(30&gt;=INDEX(PhStart,1),30&lt;INDEX(PhStart,1)+INDEX(PhWeeks,1)),INDEX(PhFTE,1),0)</f>
        <v>0</v>
      </c>
      <c r="AG8" s="48" t="n">
        <f aca="false">IF(AND(31&gt;=INDEX(PhStart,1),31&lt;INDEX(PhStart,1)+INDEX(PhWeeks,1)),INDEX(PhFTE,1),0)</f>
        <v>0</v>
      </c>
      <c r="AH8" s="48" t="n">
        <f aca="false">IF(AND(32&gt;=INDEX(PhStart,1),32&lt;INDEX(PhStart,1)+INDEX(PhWeeks,1)),INDEX(PhFTE,1),0)</f>
        <v>0</v>
      </c>
      <c r="AI8" s="48" t="n">
        <f aca="false">IF(AND(33&gt;=INDEX(PhStart,1),33&lt;INDEX(PhStart,1)+INDEX(PhWeeks,1)),INDEX(PhFTE,1),0)</f>
        <v>0</v>
      </c>
      <c r="AJ8" s="48" t="n">
        <f aca="false">IF(AND(34&gt;=INDEX(PhStart,1),34&lt;INDEX(PhStart,1)+INDEX(PhWeeks,1)),INDEX(PhFTE,1),0)</f>
        <v>0</v>
      </c>
      <c r="AK8" s="48" t="n">
        <f aca="false">IF(AND(35&gt;=INDEX(PhStart,1),35&lt;INDEX(PhStart,1)+INDEX(PhWeeks,1)),INDEX(PhFTE,1),0)</f>
        <v>0</v>
      </c>
      <c r="AL8" s="48" t="n">
        <f aca="false">IF(AND(36&gt;=INDEX(PhStart,1),36&lt;INDEX(PhStart,1)+INDEX(PhWeeks,1)),INDEX(PhFTE,1),0)</f>
        <v>0</v>
      </c>
      <c r="AM8" s="48" t="n">
        <f aca="false">IF(AND(37&gt;=INDEX(PhStart,1),37&lt;INDEX(PhStart,1)+INDEX(PhWeeks,1)),INDEX(PhFTE,1),0)</f>
        <v>0</v>
      </c>
      <c r="AN8" s="48" t="n">
        <f aca="false">IF(AND(38&gt;=INDEX(PhStart,1),38&lt;INDEX(PhStart,1)+INDEX(PhWeeks,1)),INDEX(PhFTE,1),0)</f>
        <v>0</v>
      </c>
      <c r="AO8" s="48" t="n">
        <f aca="false">IF(AND(39&gt;=INDEX(PhStart,1),39&lt;INDEX(PhStart,1)+INDEX(PhWeeks,1)),INDEX(PhFTE,1),0)</f>
        <v>0</v>
      </c>
      <c r="AP8" s="48" t="n">
        <f aca="false">IF(AND(40&gt;=INDEX(PhStart,1),40&lt;INDEX(PhStart,1)+INDEX(PhWeeks,1)),INDEX(PhFTE,1),0)</f>
        <v>0</v>
      </c>
      <c r="AQ8" s="48" t="n">
        <f aca="false">IF(AND(41&gt;=INDEX(PhStart,1),41&lt;INDEX(PhStart,1)+INDEX(PhWeeks,1)),INDEX(PhFTE,1),0)</f>
        <v>0</v>
      </c>
      <c r="AR8" s="48" t="n">
        <f aca="false">IF(AND(42&gt;=INDEX(PhStart,1),42&lt;INDEX(PhStart,1)+INDEX(PhWeeks,1)),INDEX(PhFTE,1),0)</f>
        <v>0</v>
      </c>
      <c r="AS8" s="48" t="n">
        <f aca="false">IF(AND(43&gt;=INDEX(PhStart,1),43&lt;INDEX(PhStart,1)+INDEX(PhWeeks,1)),INDEX(PhFTE,1),0)</f>
        <v>0</v>
      </c>
      <c r="AT8" s="48" t="n">
        <f aca="false">IF(AND(44&gt;=INDEX(PhStart,1),44&lt;INDEX(PhStart,1)+INDEX(PhWeeks,1)),INDEX(PhFTE,1),0)</f>
        <v>0</v>
      </c>
      <c r="AU8" s="48" t="n">
        <f aca="false">IF(AND(45&gt;=INDEX(PhStart,1),45&lt;INDEX(PhStart,1)+INDEX(PhWeeks,1)),INDEX(PhFTE,1),0)</f>
        <v>0</v>
      </c>
      <c r="AV8" s="48" t="n">
        <f aca="false">IF(AND(46&gt;=INDEX(PhStart,1),46&lt;INDEX(PhStart,1)+INDEX(PhWeeks,1)),INDEX(PhFTE,1),0)</f>
        <v>0</v>
      </c>
      <c r="AW8" s="48" t="n">
        <f aca="false">IF(AND(47&gt;=INDEX(PhStart,1),47&lt;INDEX(PhStart,1)+INDEX(PhWeeks,1)),INDEX(PhFTE,1),0)</f>
        <v>0</v>
      </c>
      <c r="AX8" s="48" t="n">
        <f aca="false">IF(AND(48&gt;=INDEX(PhStart,1),48&lt;INDEX(PhStart,1)+INDEX(PhWeeks,1)),INDEX(PhFTE,1),0)</f>
        <v>0</v>
      </c>
      <c r="AY8" s="48" t="n">
        <f aca="false">IF(AND(49&gt;=INDEX(PhStart,1),49&lt;INDEX(PhStart,1)+INDEX(PhWeeks,1)),INDEX(PhFTE,1),0)</f>
        <v>0</v>
      </c>
      <c r="AZ8" s="48" t="n">
        <f aca="false">IF(AND(50&gt;=INDEX(PhStart,1),50&lt;INDEX(PhStart,1)+INDEX(PhWeeks,1)),INDEX(PhFTE,1),0)</f>
        <v>0</v>
      </c>
      <c r="BA8" s="48" t="n">
        <f aca="false">IF(AND(51&gt;=INDEX(PhStart,1),51&lt;INDEX(PhStart,1)+INDEX(PhWeeks,1)),INDEX(PhFTE,1),0)</f>
        <v>0</v>
      </c>
      <c r="BB8" s="48" t="n">
        <f aca="false">IF(AND(52&gt;=INDEX(PhStart,1),52&lt;INDEX(PhStart,1)+INDEX(PhWeeks,1)),INDEX(PhFTE,1),0)</f>
        <v>0</v>
      </c>
      <c r="BC8" s="49" t="n">
        <f aca="false">SUM(C8:BB8)</f>
        <v>10</v>
      </c>
      <c r="BD8" s="29" t="n">
        <f aca="false">BC8*HrsWk</f>
        <v>400</v>
      </c>
      <c r="BE8" s="1"/>
    </row>
    <row r="9" customFormat="false" ht="15" hidden="false" customHeight="false" outlineLevel="0" collapsed="false">
      <c r="A9" s="32" t="s">
        <v>76</v>
      </c>
      <c r="B9" s="1"/>
      <c r="C9" s="48" t="n">
        <f aca="false">IF(AND(1&gt;=INDEX(PhStart,2),1&lt;INDEX(PhStart,2)+INDEX(PhWeeks,2)),INDEX(PhFTE,2),0)</f>
        <v>0</v>
      </c>
      <c r="D9" s="48" t="n">
        <f aca="false">IF(AND(2&gt;=INDEX(PhStart,2),2&lt;INDEX(PhStart,2)+INDEX(PhWeeks,2)),INDEX(PhFTE,2),0)</f>
        <v>0</v>
      </c>
      <c r="E9" s="48" t="n">
        <f aca="false">IF(AND(3&gt;=INDEX(PhStart,2),3&lt;INDEX(PhStart,2)+INDEX(PhWeeks,2)),INDEX(PhFTE,2),0)</f>
        <v>0</v>
      </c>
      <c r="F9" s="48" t="n">
        <f aca="false">IF(AND(4&gt;=INDEX(PhStart,2),4&lt;INDEX(PhStart,2)+INDEX(PhWeeks,2)),INDEX(PhFTE,2),0)</f>
        <v>0</v>
      </c>
      <c r="G9" s="48" t="n">
        <f aca="false">IF(AND(5&gt;=INDEX(PhStart,2),5&lt;INDEX(PhStart,2)+INDEX(PhWeeks,2)),INDEX(PhFTE,2),0)</f>
        <v>0</v>
      </c>
      <c r="H9" s="48" t="n">
        <f aca="false">IF(AND(6&gt;=INDEX(PhStart,2),6&lt;INDEX(PhStart,2)+INDEX(PhWeeks,2)),INDEX(PhFTE,2),0)</f>
        <v>6</v>
      </c>
      <c r="I9" s="48" t="n">
        <f aca="false">IF(AND(7&gt;=INDEX(PhStart,2),7&lt;INDEX(PhStart,2)+INDEX(PhWeeks,2)),INDEX(PhFTE,2),0)</f>
        <v>6</v>
      </c>
      <c r="J9" s="48" t="n">
        <f aca="false">IF(AND(8&gt;=INDEX(PhStart,2),8&lt;INDEX(PhStart,2)+INDEX(PhWeeks,2)),INDEX(PhFTE,2),0)</f>
        <v>6</v>
      </c>
      <c r="K9" s="48" t="n">
        <f aca="false">IF(AND(9&gt;=INDEX(PhStart,2),9&lt;INDEX(PhStart,2)+INDEX(PhWeeks,2)),INDEX(PhFTE,2),0)</f>
        <v>6</v>
      </c>
      <c r="L9" s="48" t="n">
        <f aca="false">IF(AND(10&gt;=INDEX(PhStart,2),10&lt;INDEX(PhStart,2)+INDEX(PhWeeks,2)),INDEX(PhFTE,2),0)</f>
        <v>6</v>
      </c>
      <c r="M9" s="48" t="n">
        <f aca="false">IF(AND(11&gt;=INDEX(PhStart,2),11&lt;INDEX(PhStart,2)+INDEX(PhWeeks,2)),INDEX(PhFTE,2),0)</f>
        <v>6</v>
      </c>
      <c r="N9" s="48" t="n">
        <f aca="false">IF(AND(12&gt;=INDEX(PhStart,2),12&lt;INDEX(PhStart,2)+INDEX(PhWeeks,2)),INDEX(PhFTE,2),0)</f>
        <v>6</v>
      </c>
      <c r="O9" s="48" t="n">
        <f aca="false">IF(AND(13&gt;=INDEX(PhStart,2),13&lt;INDEX(PhStart,2)+INDEX(PhWeeks,2)),INDEX(PhFTE,2),0)</f>
        <v>6</v>
      </c>
      <c r="P9" s="48" t="n">
        <f aca="false">IF(AND(14&gt;=INDEX(PhStart,2),14&lt;INDEX(PhStart,2)+INDEX(PhWeeks,2)),INDEX(PhFTE,2),0)</f>
        <v>6</v>
      </c>
      <c r="Q9" s="48" t="n">
        <f aca="false">IF(AND(15&gt;=INDEX(PhStart,2),15&lt;INDEX(PhStart,2)+INDEX(PhWeeks,2)),INDEX(PhFTE,2),0)</f>
        <v>6</v>
      </c>
      <c r="R9" s="48" t="n">
        <f aca="false">IF(AND(16&gt;=INDEX(PhStart,2),16&lt;INDEX(PhStart,2)+INDEX(PhWeeks,2)),INDEX(PhFTE,2),0)</f>
        <v>6</v>
      </c>
      <c r="S9" s="48" t="n">
        <f aca="false">IF(AND(17&gt;=INDEX(PhStart,2),17&lt;INDEX(PhStart,2)+INDEX(PhWeeks,2)),INDEX(PhFTE,2),0)</f>
        <v>6</v>
      </c>
      <c r="T9" s="48" t="n">
        <f aca="false">IF(AND(18&gt;=INDEX(PhStart,2),18&lt;INDEX(PhStart,2)+INDEX(PhWeeks,2)),INDEX(PhFTE,2),0)</f>
        <v>6</v>
      </c>
      <c r="U9" s="48" t="n">
        <f aca="false">IF(AND(19&gt;=INDEX(PhStart,2),19&lt;INDEX(PhStart,2)+INDEX(PhWeeks,2)),INDEX(PhFTE,2),0)</f>
        <v>6</v>
      </c>
      <c r="V9" s="48" t="n">
        <f aca="false">IF(AND(20&gt;=INDEX(PhStart,2),20&lt;INDEX(PhStart,2)+INDEX(PhWeeks,2)),INDEX(PhFTE,2),0)</f>
        <v>6</v>
      </c>
      <c r="W9" s="48" t="n">
        <f aca="false">IF(AND(21&gt;=INDEX(PhStart,2),21&lt;INDEX(PhStart,2)+INDEX(PhWeeks,2)),INDEX(PhFTE,2),0)</f>
        <v>6</v>
      </c>
      <c r="X9" s="48" t="n">
        <f aca="false">IF(AND(22&gt;=INDEX(PhStart,2),22&lt;INDEX(PhStart,2)+INDEX(PhWeeks,2)),INDEX(PhFTE,2),0)</f>
        <v>0</v>
      </c>
      <c r="Y9" s="48" t="n">
        <f aca="false">IF(AND(23&gt;=INDEX(PhStart,2),23&lt;INDEX(PhStart,2)+INDEX(PhWeeks,2)),INDEX(PhFTE,2),0)</f>
        <v>0</v>
      </c>
      <c r="Z9" s="48" t="n">
        <f aca="false">IF(AND(24&gt;=INDEX(PhStart,2),24&lt;INDEX(PhStart,2)+INDEX(PhWeeks,2)),INDEX(PhFTE,2),0)</f>
        <v>0</v>
      </c>
      <c r="AA9" s="48" t="n">
        <f aca="false">IF(AND(25&gt;=INDEX(PhStart,2),25&lt;INDEX(PhStart,2)+INDEX(PhWeeks,2)),INDEX(PhFTE,2),0)</f>
        <v>0</v>
      </c>
      <c r="AB9" s="48" t="n">
        <f aca="false">IF(AND(26&gt;=INDEX(PhStart,2),26&lt;INDEX(PhStart,2)+INDEX(PhWeeks,2)),INDEX(PhFTE,2),0)</f>
        <v>0</v>
      </c>
      <c r="AC9" s="48" t="n">
        <f aca="false">IF(AND(27&gt;=INDEX(PhStart,2),27&lt;INDEX(PhStart,2)+INDEX(PhWeeks,2)),INDEX(PhFTE,2),0)</f>
        <v>0</v>
      </c>
      <c r="AD9" s="48" t="n">
        <f aca="false">IF(AND(28&gt;=INDEX(PhStart,2),28&lt;INDEX(PhStart,2)+INDEX(PhWeeks,2)),INDEX(PhFTE,2),0)</f>
        <v>0</v>
      </c>
      <c r="AE9" s="48" t="n">
        <f aca="false">IF(AND(29&gt;=INDEX(PhStart,2),29&lt;INDEX(PhStart,2)+INDEX(PhWeeks,2)),INDEX(PhFTE,2),0)</f>
        <v>0</v>
      </c>
      <c r="AF9" s="48" t="n">
        <f aca="false">IF(AND(30&gt;=INDEX(PhStart,2),30&lt;INDEX(PhStart,2)+INDEX(PhWeeks,2)),INDEX(PhFTE,2),0)</f>
        <v>0</v>
      </c>
      <c r="AG9" s="48" t="n">
        <f aca="false">IF(AND(31&gt;=INDEX(PhStart,2),31&lt;INDEX(PhStart,2)+INDEX(PhWeeks,2)),INDEX(PhFTE,2),0)</f>
        <v>0</v>
      </c>
      <c r="AH9" s="48" t="n">
        <f aca="false">IF(AND(32&gt;=INDEX(PhStart,2),32&lt;INDEX(PhStart,2)+INDEX(PhWeeks,2)),INDEX(PhFTE,2),0)</f>
        <v>0</v>
      </c>
      <c r="AI9" s="48" t="n">
        <f aca="false">IF(AND(33&gt;=INDEX(PhStart,2),33&lt;INDEX(PhStart,2)+INDEX(PhWeeks,2)),INDEX(PhFTE,2),0)</f>
        <v>0</v>
      </c>
      <c r="AJ9" s="48" t="n">
        <f aca="false">IF(AND(34&gt;=INDEX(PhStart,2),34&lt;INDEX(PhStart,2)+INDEX(PhWeeks,2)),INDEX(PhFTE,2),0)</f>
        <v>0</v>
      </c>
      <c r="AK9" s="48" t="n">
        <f aca="false">IF(AND(35&gt;=INDEX(PhStart,2),35&lt;INDEX(PhStart,2)+INDEX(PhWeeks,2)),INDEX(PhFTE,2),0)</f>
        <v>0</v>
      </c>
      <c r="AL9" s="48" t="n">
        <f aca="false">IF(AND(36&gt;=INDEX(PhStart,2),36&lt;INDEX(PhStart,2)+INDEX(PhWeeks,2)),INDEX(PhFTE,2),0)</f>
        <v>0</v>
      </c>
      <c r="AM9" s="48" t="n">
        <f aca="false">IF(AND(37&gt;=INDEX(PhStart,2),37&lt;INDEX(PhStart,2)+INDEX(PhWeeks,2)),INDEX(PhFTE,2),0)</f>
        <v>0</v>
      </c>
      <c r="AN9" s="48" t="n">
        <f aca="false">IF(AND(38&gt;=INDEX(PhStart,2),38&lt;INDEX(PhStart,2)+INDEX(PhWeeks,2)),INDEX(PhFTE,2),0)</f>
        <v>0</v>
      </c>
      <c r="AO9" s="48" t="n">
        <f aca="false">IF(AND(39&gt;=INDEX(PhStart,2),39&lt;INDEX(PhStart,2)+INDEX(PhWeeks,2)),INDEX(PhFTE,2),0)</f>
        <v>0</v>
      </c>
      <c r="AP9" s="48" t="n">
        <f aca="false">IF(AND(40&gt;=INDEX(PhStart,2),40&lt;INDEX(PhStart,2)+INDEX(PhWeeks,2)),INDEX(PhFTE,2),0)</f>
        <v>0</v>
      </c>
      <c r="AQ9" s="48" t="n">
        <f aca="false">IF(AND(41&gt;=INDEX(PhStart,2),41&lt;INDEX(PhStart,2)+INDEX(PhWeeks,2)),INDEX(PhFTE,2),0)</f>
        <v>0</v>
      </c>
      <c r="AR9" s="48" t="n">
        <f aca="false">IF(AND(42&gt;=INDEX(PhStart,2),42&lt;INDEX(PhStart,2)+INDEX(PhWeeks,2)),INDEX(PhFTE,2),0)</f>
        <v>0</v>
      </c>
      <c r="AS9" s="48" t="n">
        <f aca="false">IF(AND(43&gt;=INDEX(PhStart,2),43&lt;INDEX(PhStart,2)+INDEX(PhWeeks,2)),INDEX(PhFTE,2),0)</f>
        <v>0</v>
      </c>
      <c r="AT9" s="48" t="n">
        <f aca="false">IF(AND(44&gt;=INDEX(PhStart,2),44&lt;INDEX(PhStart,2)+INDEX(PhWeeks,2)),INDEX(PhFTE,2),0)</f>
        <v>0</v>
      </c>
      <c r="AU9" s="48" t="n">
        <f aca="false">IF(AND(45&gt;=INDEX(PhStart,2),45&lt;INDEX(PhStart,2)+INDEX(PhWeeks,2)),INDEX(PhFTE,2),0)</f>
        <v>0</v>
      </c>
      <c r="AV9" s="48" t="n">
        <f aca="false">IF(AND(46&gt;=INDEX(PhStart,2),46&lt;INDEX(PhStart,2)+INDEX(PhWeeks,2)),INDEX(PhFTE,2),0)</f>
        <v>0</v>
      </c>
      <c r="AW9" s="48" t="n">
        <f aca="false">IF(AND(47&gt;=INDEX(PhStart,2),47&lt;INDEX(PhStart,2)+INDEX(PhWeeks,2)),INDEX(PhFTE,2),0)</f>
        <v>0</v>
      </c>
      <c r="AX9" s="48" t="n">
        <f aca="false">IF(AND(48&gt;=INDEX(PhStart,2),48&lt;INDEX(PhStart,2)+INDEX(PhWeeks,2)),INDEX(PhFTE,2),0)</f>
        <v>0</v>
      </c>
      <c r="AY9" s="48" t="n">
        <f aca="false">IF(AND(49&gt;=INDEX(PhStart,2),49&lt;INDEX(PhStart,2)+INDEX(PhWeeks,2)),INDEX(PhFTE,2),0)</f>
        <v>0</v>
      </c>
      <c r="AZ9" s="48" t="n">
        <f aca="false">IF(AND(50&gt;=INDEX(PhStart,2),50&lt;INDEX(PhStart,2)+INDEX(PhWeeks,2)),INDEX(PhFTE,2),0)</f>
        <v>0</v>
      </c>
      <c r="BA9" s="48" t="n">
        <f aca="false">IF(AND(51&gt;=INDEX(PhStart,2),51&lt;INDEX(PhStart,2)+INDEX(PhWeeks,2)),INDEX(PhFTE,2),0)</f>
        <v>0</v>
      </c>
      <c r="BB9" s="48" t="n">
        <f aca="false">IF(AND(52&gt;=INDEX(PhStart,2),52&lt;INDEX(PhStart,2)+INDEX(PhWeeks,2)),INDEX(PhFTE,2),0)</f>
        <v>0</v>
      </c>
      <c r="BC9" s="49" t="n">
        <f aca="false">SUM(C9:BB9)</f>
        <v>96</v>
      </c>
      <c r="BD9" s="29" t="n">
        <f aca="false">BC9*HrsWk</f>
        <v>3840</v>
      </c>
      <c r="BE9" s="1"/>
    </row>
    <row r="10" customFormat="false" ht="15" hidden="false" customHeight="false" outlineLevel="0" collapsed="false">
      <c r="A10" s="33" t="s">
        <v>78</v>
      </c>
      <c r="B10" s="1"/>
      <c r="C10" s="48" t="n">
        <f aca="false">IF(AND(1&gt;=INDEX(PhStart,3),1&lt;INDEX(PhStart,3)+INDEX(PhWeeks,3)),INDEX(PhFTE,3),0)</f>
        <v>0</v>
      </c>
      <c r="D10" s="48" t="n">
        <f aca="false">IF(AND(2&gt;=INDEX(PhStart,3),2&lt;INDEX(PhStart,3)+INDEX(PhWeeks,3)),INDEX(PhFTE,3),0)</f>
        <v>0</v>
      </c>
      <c r="E10" s="48" t="n">
        <f aca="false">IF(AND(3&gt;=INDEX(PhStart,3),3&lt;INDEX(PhStart,3)+INDEX(PhWeeks,3)),INDEX(PhFTE,3),0)</f>
        <v>0</v>
      </c>
      <c r="F10" s="48" t="n">
        <f aca="false">IF(AND(4&gt;=INDEX(PhStart,3),4&lt;INDEX(PhStart,3)+INDEX(PhWeeks,3)),INDEX(PhFTE,3),0)</f>
        <v>0</v>
      </c>
      <c r="G10" s="48" t="n">
        <f aca="false">IF(AND(5&gt;=INDEX(PhStart,3),5&lt;INDEX(PhStart,3)+INDEX(PhWeeks,3)),INDEX(PhFTE,3),0)</f>
        <v>0</v>
      </c>
      <c r="H10" s="48" t="n">
        <f aca="false">IF(AND(6&gt;=INDEX(PhStart,3),6&lt;INDEX(PhStart,3)+INDEX(PhWeeks,3)),INDEX(PhFTE,3),0)</f>
        <v>0</v>
      </c>
      <c r="I10" s="48" t="n">
        <f aca="false">IF(AND(7&gt;=INDEX(PhStart,3),7&lt;INDEX(PhStart,3)+INDEX(PhWeeks,3)),INDEX(PhFTE,3),0)</f>
        <v>0</v>
      </c>
      <c r="J10" s="48" t="n">
        <f aca="false">IF(AND(8&gt;=INDEX(PhStart,3),8&lt;INDEX(PhStart,3)+INDEX(PhWeeks,3)),INDEX(PhFTE,3),0)</f>
        <v>1</v>
      </c>
      <c r="K10" s="48" t="n">
        <f aca="false">IF(AND(9&gt;=INDEX(PhStart,3),9&lt;INDEX(PhStart,3)+INDEX(PhWeeks,3)),INDEX(PhFTE,3),0)</f>
        <v>1</v>
      </c>
      <c r="L10" s="48" t="n">
        <f aca="false">IF(AND(10&gt;=INDEX(PhStart,3),10&lt;INDEX(PhStart,3)+INDEX(PhWeeks,3)),INDEX(PhFTE,3),0)</f>
        <v>1</v>
      </c>
      <c r="M10" s="48" t="n">
        <f aca="false">IF(AND(11&gt;=INDEX(PhStart,3),11&lt;INDEX(PhStart,3)+INDEX(PhWeeks,3)),INDEX(PhFTE,3),0)</f>
        <v>1</v>
      </c>
      <c r="N10" s="48" t="n">
        <f aca="false">IF(AND(12&gt;=INDEX(PhStart,3),12&lt;INDEX(PhStart,3)+INDEX(PhWeeks,3)),INDEX(PhFTE,3),0)</f>
        <v>1</v>
      </c>
      <c r="O10" s="48" t="n">
        <f aca="false">IF(AND(13&gt;=INDEX(PhStart,3),13&lt;INDEX(PhStart,3)+INDEX(PhWeeks,3)),INDEX(PhFTE,3),0)</f>
        <v>1</v>
      </c>
      <c r="P10" s="48" t="n">
        <f aca="false">IF(AND(14&gt;=INDEX(PhStart,3),14&lt;INDEX(PhStart,3)+INDEX(PhWeeks,3)),INDEX(PhFTE,3),0)</f>
        <v>1</v>
      </c>
      <c r="Q10" s="48" t="n">
        <f aca="false">IF(AND(15&gt;=INDEX(PhStart,3),15&lt;INDEX(PhStart,3)+INDEX(PhWeeks,3)),INDEX(PhFTE,3),0)</f>
        <v>1</v>
      </c>
      <c r="R10" s="48" t="n">
        <f aca="false">IF(AND(16&gt;=INDEX(PhStart,3),16&lt;INDEX(PhStart,3)+INDEX(PhWeeks,3)),INDEX(PhFTE,3),0)</f>
        <v>1</v>
      </c>
      <c r="S10" s="48" t="n">
        <f aca="false">IF(AND(17&gt;=INDEX(PhStart,3),17&lt;INDEX(PhStart,3)+INDEX(PhWeeks,3)),INDEX(PhFTE,3),0)</f>
        <v>1</v>
      </c>
      <c r="T10" s="48" t="n">
        <f aca="false">IF(AND(18&gt;=INDEX(PhStart,3),18&lt;INDEX(PhStart,3)+INDEX(PhWeeks,3)),INDEX(PhFTE,3),0)</f>
        <v>1</v>
      </c>
      <c r="U10" s="48" t="n">
        <f aca="false">IF(AND(19&gt;=INDEX(PhStart,3),19&lt;INDEX(PhStart,3)+INDEX(PhWeeks,3)),INDEX(PhFTE,3),0)</f>
        <v>1</v>
      </c>
      <c r="V10" s="48" t="n">
        <f aca="false">IF(AND(20&gt;=INDEX(PhStart,3),20&lt;INDEX(PhStart,3)+INDEX(PhWeeks,3)),INDEX(PhFTE,3),0)</f>
        <v>1</v>
      </c>
      <c r="W10" s="48" t="n">
        <f aca="false">IF(AND(21&gt;=INDEX(PhStart,3),21&lt;INDEX(PhStart,3)+INDEX(PhWeeks,3)),INDEX(PhFTE,3),0)</f>
        <v>1</v>
      </c>
      <c r="X10" s="48" t="n">
        <f aca="false">IF(AND(22&gt;=INDEX(PhStart,3),22&lt;INDEX(PhStart,3)+INDEX(PhWeeks,3)),INDEX(PhFTE,3),0)</f>
        <v>1</v>
      </c>
      <c r="Y10" s="48" t="n">
        <f aca="false">IF(AND(23&gt;=INDEX(PhStart,3),23&lt;INDEX(PhStart,3)+INDEX(PhWeeks,3)),INDEX(PhFTE,3),0)</f>
        <v>1</v>
      </c>
      <c r="Z10" s="48" t="n">
        <f aca="false">IF(AND(24&gt;=INDEX(PhStart,3),24&lt;INDEX(PhStart,3)+INDEX(PhWeeks,3)),INDEX(PhFTE,3),0)</f>
        <v>0</v>
      </c>
      <c r="AA10" s="48" t="n">
        <f aca="false">IF(AND(25&gt;=INDEX(PhStart,3),25&lt;INDEX(PhStart,3)+INDEX(PhWeeks,3)),INDEX(PhFTE,3),0)</f>
        <v>0</v>
      </c>
      <c r="AB10" s="48" t="n">
        <f aca="false">IF(AND(26&gt;=INDEX(PhStart,3),26&lt;INDEX(PhStart,3)+INDEX(PhWeeks,3)),INDEX(PhFTE,3),0)</f>
        <v>0</v>
      </c>
      <c r="AC10" s="48" t="n">
        <f aca="false">IF(AND(27&gt;=INDEX(PhStart,3),27&lt;INDEX(PhStart,3)+INDEX(PhWeeks,3)),INDEX(PhFTE,3),0)</f>
        <v>0</v>
      </c>
      <c r="AD10" s="48" t="n">
        <f aca="false">IF(AND(28&gt;=INDEX(PhStart,3),28&lt;INDEX(PhStart,3)+INDEX(PhWeeks,3)),INDEX(PhFTE,3),0)</f>
        <v>0</v>
      </c>
      <c r="AE10" s="48" t="n">
        <f aca="false">IF(AND(29&gt;=INDEX(PhStart,3),29&lt;INDEX(PhStart,3)+INDEX(PhWeeks,3)),INDEX(PhFTE,3),0)</f>
        <v>0</v>
      </c>
      <c r="AF10" s="48" t="n">
        <f aca="false">IF(AND(30&gt;=INDEX(PhStart,3),30&lt;INDEX(PhStart,3)+INDEX(PhWeeks,3)),INDEX(PhFTE,3),0)</f>
        <v>0</v>
      </c>
      <c r="AG10" s="48" t="n">
        <f aca="false">IF(AND(31&gt;=INDEX(PhStart,3),31&lt;INDEX(PhStart,3)+INDEX(PhWeeks,3)),INDEX(PhFTE,3),0)</f>
        <v>0</v>
      </c>
      <c r="AH10" s="48" t="n">
        <f aca="false">IF(AND(32&gt;=INDEX(PhStart,3),32&lt;INDEX(PhStart,3)+INDEX(PhWeeks,3)),INDEX(PhFTE,3),0)</f>
        <v>0</v>
      </c>
      <c r="AI10" s="48" t="n">
        <f aca="false">IF(AND(33&gt;=INDEX(PhStart,3),33&lt;INDEX(PhStart,3)+INDEX(PhWeeks,3)),INDEX(PhFTE,3),0)</f>
        <v>0</v>
      </c>
      <c r="AJ10" s="48" t="n">
        <f aca="false">IF(AND(34&gt;=INDEX(PhStart,3),34&lt;INDEX(PhStart,3)+INDEX(PhWeeks,3)),INDEX(PhFTE,3),0)</f>
        <v>0</v>
      </c>
      <c r="AK10" s="48" t="n">
        <f aca="false">IF(AND(35&gt;=INDEX(PhStart,3),35&lt;INDEX(PhStart,3)+INDEX(PhWeeks,3)),INDEX(PhFTE,3),0)</f>
        <v>0</v>
      </c>
      <c r="AL10" s="48" t="n">
        <f aca="false">IF(AND(36&gt;=INDEX(PhStart,3),36&lt;INDEX(PhStart,3)+INDEX(PhWeeks,3)),INDEX(PhFTE,3),0)</f>
        <v>0</v>
      </c>
      <c r="AM10" s="48" t="n">
        <f aca="false">IF(AND(37&gt;=INDEX(PhStart,3),37&lt;INDEX(PhStart,3)+INDEX(PhWeeks,3)),INDEX(PhFTE,3),0)</f>
        <v>0</v>
      </c>
      <c r="AN10" s="48" t="n">
        <f aca="false">IF(AND(38&gt;=INDEX(PhStart,3),38&lt;INDEX(PhStart,3)+INDEX(PhWeeks,3)),INDEX(PhFTE,3),0)</f>
        <v>0</v>
      </c>
      <c r="AO10" s="48" t="n">
        <f aca="false">IF(AND(39&gt;=INDEX(PhStart,3),39&lt;INDEX(PhStart,3)+INDEX(PhWeeks,3)),INDEX(PhFTE,3),0)</f>
        <v>0</v>
      </c>
      <c r="AP10" s="48" t="n">
        <f aca="false">IF(AND(40&gt;=INDEX(PhStart,3),40&lt;INDEX(PhStart,3)+INDEX(PhWeeks,3)),INDEX(PhFTE,3),0)</f>
        <v>0</v>
      </c>
      <c r="AQ10" s="48" t="n">
        <f aca="false">IF(AND(41&gt;=INDEX(PhStart,3),41&lt;INDEX(PhStart,3)+INDEX(PhWeeks,3)),INDEX(PhFTE,3),0)</f>
        <v>0</v>
      </c>
      <c r="AR10" s="48" t="n">
        <f aca="false">IF(AND(42&gt;=INDEX(PhStart,3),42&lt;INDEX(PhStart,3)+INDEX(PhWeeks,3)),INDEX(PhFTE,3),0)</f>
        <v>0</v>
      </c>
      <c r="AS10" s="48" t="n">
        <f aca="false">IF(AND(43&gt;=INDEX(PhStart,3),43&lt;INDEX(PhStart,3)+INDEX(PhWeeks,3)),INDEX(PhFTE,3),0)</f>
        <v>0</v>
      </c>
      <c r="AT10" s="48" t="n">
        <f aca="false">IF(AND(44&gt;=INDEX(PhStart,3),44&lt;INDEX(PhStart,3)+INDEX(PhWeeks,3)),INDEX(PhFTE,3),0)</f>
        <v>0</v>
      </c>
      <c r="AU10" s="48" t="n">
        <f aca="false">IF(AND(45&gt;=INDEX(PhStart,3),45&lt;INDEX(PhStart,3)+INDEX(PhWeeks,3)),INDEX(PhFTE,3),0)</f>
        <v>0</v>
      </c>
      <c r="AV10" s="48" t="n">
        <f aca="false">IF(AND(46&gt;=INDEX(PhStart,3),46&lt;INDEX(PhStart,3)+INDEX(PhWeeks,3)),INDEX(PhFTE,3),0)</f>
        <v>0</v>
      </c>
      <c r="AW10" s="48" t="n">
        <f aca="false">IF(AND(47&gt;=INDEX(PhStart,3),47&lt;INDEX(PhStart,3)+INDEX(PhWeeks,3)),INDEX(PhFTE,3),0)</f>
        <v>0</v>
      </c>
      <c r="AX10" s="48" t="n">
        <f aca="false">IF(AND(48&gt;=INDEX(PhStart,3),48&lt;INDEX(PhStart,3)+INDEX(PhWeeks,3)),INDEX(PhFTE,3),0)</f>
        <v>0</v>
      </c>
      <c r="AY10" s="48" t="n">
        <f aca="false">IF(AND(49&gt;=INDEX(PhStart,3),49&lt;INDEX(PhStart,3)+INDEX(PhWeeks,3)),INDEX(PhFTE,3),0)</f>
        <v>0</v>
      </c>
      <c r="AZ10" s="48" t="n">
        <f aca="false">IF(AND(50&gt;=INDEX(PhStart,3),50&lt;INDEX(PhStart,3)+INDEX(PhWeeks,3)),INDEX(PhFTE,3),0)</f>
        <v>0</v>
      </c>
      <c r="BA10" s="48" t="n">
        <f aca="false">IF(AND(51&gt;=INDEX(PhStart,3),51&lt;INDEX(PhStart,3)+INDEX(PhWeeks,3)),INDEX(PhFTE,3),0)</f>
        <v>0</v>
      </c>
      <c r="BB10" s="48" t="n">
        <f aca="false">IF(AND(52&gt;=INDEX(PhStart,3),52&lt;INDEX(PhStart,3)+INDEX(PhWeeks,3)),INDEX(PhFTE,3),0)</f>
        <v>0</v>
      </c>
      <c r="BC10" s="49" t="n">
        <f aca="false">SUM(C10:BB10)</f>
        <v>16</v>
      </c>
      <c r="BD10" s="29" t="n">
        <f aca="false">BC10*HrsWk</f>
        <v>640</v>
      </c>
      <c r="BE10" s="1"/>
    </row>
    <row r="11" customFormat="false" ht="15" hidden="false" customHeight="false" outlineLevel="0" collapsed="false">
      <c r="A11" s="34" t="s">
        <v>80</v>
      </c>
      <c r="B11" s="1"/>
      <c r="C11" s="48" t="n">
        <f aca="false">IF(AND(1&gt;=INDEX(PhStart,4),1&lt;INDEX(PhStart,4)+INDEX(PhWeeks,4)),INDEX(PhFTE,4),0)</f>
        <v>0</v>
      </c>
      <c r="D11" s="48" t="n">
        <f aca="false">IF(AND(2&gt;=INDEX(PhStart,4),2&lt;INDEX(PhStart,4)+INDEX(PhWeeks,4)),INDEX(PhFTE,4),0)</f>
        <v>0</v>
      </c>
      <c r="E11" s="48" t="n">
        <f aca="false">IF(AND(3&gt;=INDEX(PhStart,4),3&lt;INDEX(PhStart,4)+INDEX(PhWeeks,4)),INDEX(PhFTE,4),0)</f>
        <v>0</v>
      </c>
      <c r="F11" s="48" t="n">
        <f aca="false">IF(AND(4&gt;=INDEX(PhStart,4),4&lt;INDEX(PhStart,4)+INDEX(PhWeeks,4)),INDEX(PhFTE,4),0)</f>
        <v>0</v>
      </c>
      <c r="G11" s="48" t="n">
        <f aca="false">IF(AND(5&gt;=INDEX(PhStart,4),5&lt;INDEX(PhStart,4)+INDEX(PhWeeks,4)),INDEX(PhFTE,4),0)</f>
        <v>0</v>
      </c>
      <c r="H11" s="48" t="n">
        <f aca="false">IF(AND(6&gt;=INDEX(PhStart,4),6&lt;INDEX(PhStart,4)+INDEX(PhWeeks,4)),INDEX(PhFTE,4),0)</f>
        <v>0</v>
      </c>
      <c r="I11" s="48" t="n">
        <f aca="false">IF(AND(7&gt;=INDEX(PhStart,4),7&lt;INDEX(PhStart,4)+INDEX(PhWeeks,4)),INDEX(PhFTE,4),0)</f>
        <v>0</v>
      </c>
      <c r="J11" s="48" t="n">
        <f aca="false">IF(AND(8&gt;=INDEX(PhStart,4),8&lt;INDEX(PhStart,4)+INDEX(PhWeeks,4)),INDEX(PhFTE,4),0)</f>
        <v>0</v>
      </c>
      <c r="K11" s="48" t="n">
        <f aca="false">IF(AND(9&gt;=INDEX(PhStart,4),9&lt;INDEX(PhStart,4)+INDEX(PhWeeks,4)),INDEX(PhFTE,4),0)</f>
        <v>0</v>
      </c>
      <c r="L11" s="48" t="n">
        <f aca="false">IF(AND(10&gt;=INDEX(PhStart,4),10&lt;INDEX(PhStart,4)+INDEX(PhWeeks,4)),INDEX(PhFTE,4),0)</f>
        <v>0.5</v>
      </c>
      <c r="M11" s="48" t="n">
        <f aca="false">IF(AND(11&gt;=INDEX(PhStart,4),11&lt;INDEX(PhStart,4)+INDEX(PhWeeks,4)),INDEX(PhFTE,4),0)</f>
        <v>0.5</v>
      </c>
      <c r="N11" s="48" t="n">
        <f aca="false">IF(AND(12&gt;=INDEX(PhStart,4),12&lt;INDEX(PhStart,4)+INDEX(PhWeeks,4)),INDEX(PhFTE,4),0)</f>
        <v>0.5</v>
      </c>
      <c r="O11" s="48" t="n">
        <f aca="false">IF(AND(13&gt;=INDEX(PhStart,4),13&lt;INDEX(PhStart,4)+INDEX(PhWeeks,4)),INDEX(PhFTE,4),0)</f>
        <v>0.5</v>
      </c>
      <c r="P11" s="48" t="n">
        <f aca="false">IF(AND(14&gt;=INDEX(PhStart,4),14&lt;INDEX(PhStart,4)+INDEX(PhWeeks,4)),INDEX(PhFTE,4),0)</f>
        <v>0.5</v>
      </c>
      <c r="Q11" s="48" t="n">
        <f aca="false">IF(AND(15&gt;=INDEX(PhStart,4),15&lt;INDEX(PhStart,4)+INDEX(PhWeeks,4)),INDEX(PhFTE,4),0)</f>
        <v>0.5</v>
      </c>
      <c r="R11" s="48" t="n">
        <f aca="false">IF(AND(16&gt;=INDEX(PhStart,4),16&lt;INDEX(PhStart,4)+INDEX(PhWeeks,4)),INDEX(PhFTE,4),0)</f>
        <v>0.5</v>
      </c>
      <c r="S11" s="48" t="n">
        <f aca="false">IF(AND(17&gt;=INDEX(PhStart,4),17&lt;INDEX(PhStart,4)+INDEX(PhWeeks,4)),INDEX(PhFTE,4),0)</f>
        <v>0.5</v>
      </c>
      <c r="T11" s="48" t="n">
        <f aca="false">IF(AND(18&gt;=INDEX(PhStart,4),18&lt;INDEX(PhStart,4)+INDEX(PhWeeks,4)),INDEX(PhFTE,4),0)</f>
        <v>0.5</v>
      </c>
      <c r="U11" s="48" t="n">
        <f aca="false">IF(AND(19&gt;=INDEX(PhStart,4),19&lt;INDEX(PhStart,4)+INDEX(PhWeeks,4)),INDEX(PhFTE,4),0)</f>
        <v>0.5</v>
      </c>
      <c r="V11" s="48" t="n">
        <f aca="false">IF(AND(20&gt;=INDEX(PhStart,4),20&lt;INDEX(PhStart,4)+INDEX(PhWeeks,4)),INDEX(PhFTE,4),0)</f>
        <v>0.5</v>
      </c>
      <c r="W11" s="48" t="n">
        <f aca="false">IF(AND(21&gt;=INDEX(PhStart,4),21&lt;INDEX(PhStart,4)+INDEX(PhWeeks,4)),INDEX(PhFTE,4),0)</f>
        <v>0.5</v>
      </c>
      <c r="X11" s="48" t="n">
        <f aca="false">IF(AND(22&gt;=INDEX(PhStart,4),22&lt;INDEX(PhStart,4)+INDEX(PhWeeks,4)),INDEX(PhFTE,4),0)</f>
        <v>0.5</v>
      </c>
      <c r="Y11" s="48" t="n">
        <f aca="false">IF(AND(23&gt;=INDEX(PhStart,4),23&lt;INDEX(PhStart,4)+INDEX(PhWeeks,4)),INDEX(PhFTE,4),0)</f>
        <v>0.5</v>
      </c>
      <c r="Z11" s="48" t="n">
        <f aca="false">IF(AND(24&gt;=INDEX(PhStart,4),24&lt;INDEX(PhStart,4)+INDEX(PhWeeks,4)),INDEX(PhFTE,4),0)</f>
        <v>0.5</v>
      </c>
      <c r="AA11" s="48" t="n">
        <f aca="false">IF(AND(25&gt;=INDEX(PhStart,4),25&lt;INDEX(PhStart,4)+INDEX(PhWeeks,4)),INDEX(PhFTE,4),0)</f>
        <v>0.5</v>
      </c>
      <c r="AB11" s="48" t="n">
        <f aca="false">IF(AND(26&gt;=INDEX(PhStart,4),26&lt;INDEX(PhStart,4)+INDEX(PhWeeks,4)),INDEX(PhFTE,4),0)</f>
        <v>0</v>
      </c>
      <c r="AC11" s="48" t="n">
        <f aca="false">IF(AND(27&gt;=INDEX(PhStart,4),27&lt;INDEX(PhStart,4)+INDEX(PhWeeks,4)),INDEX(PhFTE,4),0)</f>
        <v>0</v>
      </c>
      <c r="AD11" s="48" t="n">
        <f aca="false">IF(AND(28&gt;=INDEX(PhStart,4),28&lt;INDEX(PhStart,4)+INDEX(PhWeeks,4)),INDEX(PhFTE,4),0)</f>
        <v>0</v>
      </c>
      <c r="AE11" s="48" t="n">
        <f aca="false">IF(AND(29&gt;=INDEX(PhStart,4),29&lt;INDEX(PhStart,4)+INDEX(PhWeeks,4)),INDEX(PhFTE,4),0)</f>
        <v>0</v>
      </c>
      <c r="AF11" s="48" t="n">
        <f aca="false">IF(AND(30&gt;=INDEX(PhStart,4),30&lt;INDEX(PhStart,4)+INDEX(PhWeeks,4)),INDEX(PhFTE,4),0)</f>
        <v>0</v>
      </c>
      <c r="AG11" s="48" t="n">
        <f aca="false">IF(AND(31&gt;=INDEX(PhStart,4),31&lt;INDEX(PhStart,4)+INDEX(PhWeeks,4)),INDEX(PhFTE,4),0)</f>
        <v>0</v>
      </c>
      <c r="AH11" s="48" t="n">
        <f aca="false">IF(AND(32&gt;=INDEX(PhStart,4),32&lt;INDEX(PhStart,4)+INDEX(PhWeeks,4)),INDEX(PhFTE,4),0)</f>
        <v>0</v>
      </c>
      <c r="AI11" s="48" t="n">
        <f aca="false">IF(AND(33&gt;=INDEX(PhStart,4),33&lt;INDEX(PhStart,4)+INDEX(PhWeeks,4)),INDEX(PhFTE,4),0)</f>
        <v>0</v>
      </c>
      <c r="AJ11" s="48" t="n">
        <f aca="false">IF(AND(34&gt;=INDEX(PhStart,4),34&lt;INDEX(PhStart,4)+INDEX(PhWeeks,4)),INDEX(PhFTE,4),0)</f>
        <v>0</v>
      </c>
      <c r="AK11" s="48" t="n">
        <f aca="false">IF(AND(35&gt;=INDEX(PhStart,4),35&lt;INDEX(PhStart,4)+INDEX(PhWeeks,4)),INDEX(PhFTE,4),0)</f>
        <v>0</v>
      </c>
      <c r="AL11" s="48" t="n">
        <f aca="false">IF(AND(36&gt;=INDEX(PhStart,4),36&lt;INDEX(PhStart,4)+INDEX(PhWeeks,4)),INDEX(PhFTE,4),0)</f>
        <v>0</v>
      </c>
      <c r="AM11" s="48" t="n">
        <f aca="false">IF(AND(37&gt;=INDEX(PhStart,4),37&lt;INDEX(PhStart,4)+INDEX(PhWeeks,4)),INDEX(PhFTE,4),0)</f>
        <v>0</v>
      </c>
      <c r="AN11" s="48" t="n">
        <f aca="false">IF(AND(38&gt;=INDEX(PhStart,4),38&lt;INDEX(PhStart,4)+INDEX(PhWeeks,4)),INDEX(PhFTE,4),0)</f>
        <v>0</v>
      </c>
      <c r="AO11" s="48" t="n">
        <f aca="false">IF(AND(39&gt;=INDEX(PhStart,4),39&lt;INDEX(PhStart,4)+INDEX(PhWeeks,4)),INDEX(PhFTE,4),0)</f>
        <v>0</v>
      </c>
      <c r="AP11" s="48" t="n">
        <f aca="false">IF(AND(40&gt;=INDEX(PhStart,4),40&lt;INDEX(PhStart,4)+INDEX(PhWeeks,4)),INDEX(PhFTE,4),0)</f>
        <v>0</v>
      </c>
      <c r="AQ11" s="48" t="n">
        <f aca="false">IF(AND(41&gt;=INDEX(PhStart,4),41&lt;INDEX(PhStart,4)+INDEX(PhWeeks,4)),INDEX(PhFTE,4),0)</f>
        <v>0</v>
      </c>
      <c r="AR11" s="48" t="n">
        <f aca="false">IF(AND(42&gt;=INDEX(PhStart,4),42&lt;INDEX(PhStart,4)+INDEX(PhWeeks,4)),INDEX(PhFTE,4),0)</f>
        <v>0</v>
      </c>
      <c r="AS11" s="48" t="n">
        <f aca="false">IF(AND(43&gt;=INDEX(PhStart,4),43&lt;INDEX(PhStart,4)+INDEX(PhWeeks,4)),INDEX(PhFTE,4),0)</f>
        <v>0</v>
      </c>
      <c r="AT11" s="48" t="n">
        <f aca="false">IF(AND(44&gt;=INDEX(PhStart,4),44&lt;INDEX(PhStart,4)+INDEX(PhWeeks,4)),INDEX(PhFTE,4),0)</f>
        <v>0</v>
      </c>
      <c r="AU11" s="48" t="n">
        <f aca="false">IF(AND(45&gt;=INDEX(PhStart,4),45&lt;INDEX(PhStart,4)+INDEX(PhWeeks,4)),INDEX(PhFTE,4),0)</f>
        <v>0</v>
      </c>
      <c r="AV11" s="48" t="n">
        <f aca="false">IF(AND(46&gt;=INDEX(PhStart,4),46&lt;INDEX(PhStart,4)+INDEX(PhWeeks,4)),INDEX(PhFTE,4),0)</f>
        <v>0</v>
      </c>
      <c r="AW11" s="48" t="n">
        <f aca="false">IF(AND(47&gt;=INDEX(PhStart,4),47&lt;INDEX(PhStart,4)+INDEX(PhWeeks,4)),INDEX(PhFTE,4),0)</f>
        <v>0</v>
      </c>
      <c r="AX11" s="48" t="n">
        <f aca="false">IF(AND(48&gt;=INDEX(PhStart,4),48&lt;INDEX(PhStart,4)+INDEX(PhWeeks,4)),INDEX(PhFTE,4),0)</f>
        <v>0</v>
      </c>
      <c r="AY11" s="48" t="n">
        <f aca="false">IF(AND(49&gt;=INDEX(PhStart,4),49&lt;INDEX(PhStart,4)+INDEX(PhWeeks,4)),INDEX(PhFTE,4),0)</f>
        <v>0</v>
      </c>
      <c r="AZ11" s="48" t="n">
        <f aca="false">IF(AND(50&gt;=INDEX(PhStart,4),50&lt;INDEX(PhStart,4)+INDEX(PhWeeks,4)),INDEX(PhFTE,4),0)</f>
        <v>0</v>
      </c>
      <c r="BA11" s="48" t="n">
        <f aca="false">IF(AND(51&gt;=INDEX(PhStart,4),51&lt;INDEX(PhStart,4)+INDEX(PhWeeks,4)),INDEX(PhFTE,4),0)</f>
        <v>0</v>
      </c>
      <c r="BB11" s="48" t="n">
        <f aca="false">IF(AND(52&gt;=INDEX(PhStart,4),52&lt;INDEX(PhStart,4)+INDEX(PhWeeks,4)),INDEX(PhFTE,4),0)</f>
        <v>0</v>
      </c>
      <c r="BC11" s="49" t="n">
        <f aca="false">SUM(C11:BB11)</f>
        <v>8</v>
      </c>
      <c r="BD11" s="29" t="n">
        <f aca="false">BC11*HrsWk</f>
        <v>320</v>
      </c>
      <c r="BE11" s="1"/>
    </row>
    <row r="12" customFormat="false" ht="15" hidden="false" customHeight="false" outlineLevel="0" collapsed="false">
      <c r="A12" s="35" t="s">
        <v>82</v>
      </c>
      <c r="B12" s="1"/>
      <c r="C12" s="48" t="n">
        <f aca="false">IF(AND(1&gt;=INDEX(PhStart,5),1&lt;INDEX(PhStart,5)+INDEX(PhWeeks,5)),INDEX(PhFTE,5),0)</f>
        <v>0</v>
      </c>
      <c r="D12" s="48" t="n">
        <f aca="false">IF(AND(2&gt;=INDEX(PhStart,5),2&lt;INDEX(PhStart,5)+INDEX(PhWeeks,5)),INDEX(PhFTE,5),0)</f>
        <v>0</v>
      </c>
      <c r="E12" s="48" t="n">
        <f aca="false">IF(AND(3&gt;=INDEX(PhStart,5),3&lt;INDEX(PhStart,5)+INDEX(PhWeeks,5)),INDEX(PhFTE,5),0)</f>
        <v>0</v>
      </c>
      <c r="F12" s="48" t="n">
        <f aca="false">IF(AND(4&gt;=INDEX(PhStart,5),4&lt;INDEX(PhStart,5)+INDEX(PhWeeks,5)),INDEX(PhFTE,5),0)</f>
        <v>0</v>
      </c>
      <c r="G12" s="48" t="n">
        <f aca="false">IF(AND(5&gt;=INDEX(PhStart,5),5&lt;INDEX(PhStart,5)+INDEX(PhWeeks,5)),INDEX(PhFTE,5),0)</f>
        <v>0</v>
      </c>
      <c r="H12" s="48" t="n">
        <f aca="false">IF(AND(6&gt;=INDEX(PhStart,5),6&lt;INDEX(PhStart,5)+INDEX(PhWeeks,5)),INDEX(PhFTE,5),0)</f>
        <v>0</v>
      </c>
      <c r="I12" s="48" t="n">
        <f aca="false">IF(AND(7&gt;=INDEX(PhStart,5),7&lt;INDEX(PhStart,5)+INDEX(PhWeeks,5)),INDEX(PhFTE,5),0)</f>
        <v>0</v>
      </c>
      <c r="J12" s="48" t="n">
        <f aca="false">IF(AND(8&gt;=INDEX(PhStart,5),8&lt;INDEX(PhStart,5)+INDEX(PhWeeks,5)),INDEX(PhFTE,5),0)</f>
        <v>0</v>
      </c>
      <c r="K12" s="48" t="n">
        <f aca="false">IF(AND(9&gt;=INDEX(PhStart,5),9&lt;INDEX(PhStart,5)+INDEX(PhWeeks,5)),INDEX(PhFTE,5),0)</f>
        <v>0</v>
      </c>
      <c r="L12" s="48" t="n">
        <f aca="false">IF(AND(10&gt;=INDEX(PhStart,5),10&lt;INDEX(PhStart,5)+INDEX(PhWeeks,5)),INDEX(PhFTE,5),0)</f>
        <v>0.5</v>
      </c>
      <c r="M12" s="48" t="n">
        <f aca="false">IF(AND(11&gt;=INDEX(PhStart,5),11&lt;INDEX(PhStart,5)+INDEX(PhWeeks,5)),INDEX(PhFTE,5),0)</f>
        <v>0.5</v>
      </c>
      <c r="N12" s="48" t="n">
        <f aca="false">IF(AND(12&gt;=INDEX(PhStart,5),12&lt;INDEX(PhStart,5)+INDEX(PhWeeks,5)),INDEX(PhFTE,5),0)</f>
        <v>0.5</v>
      </c>
      <c r="O12" s="48" t="n">
        <f aca="false">IF(AND(13&gt;=INDEX(PhStart,5),13&lt;INDEX(PhStart,5)+INDEX(PhWeeks,5)),INDEX(PhFTE,5),0)</f>
        <v>0.5</v>
      </c>
      <c r="P12" s="48" t="n">
        <f aca="false">IF(AND(14&gt;=INDEX(PhStart,5),14&lt;INDEX(PhStart,5)+INDEX(PhWeeks,5)),INDEX(PhFTE,5),0)</f>
        <v>0.5</v>
      </c>
      <c r="Q12" s="48" t="n">
        <f aca="false">IF(AND(15&gt;=INDEX(PhStart,5),15&lt;INDEX(PhStart,5)+INDEX(PhWeeks,5)),INDEX(PhFTE,5),0)</f>
        <v>0.5</v>
      </c>
      <c r="R12" s="48" t="n">
        <f aca="false">IF(AND(16&gt;=INDEX(PhStart,5),16&lt;INDEX(PhStart,5)+INDEX(PhWeeks,5)),INDEX(PhFTE,5),0)</f>
        <v>0.5</v>
      </c>
      <c r="S12" s="48" t="n">
        <f aca="false">IF(AND(17&gt;=INDEX(PhStart,5),17&lt;INDEX(PhStart,5)+INDEX(PhWeeks,5)),INDEX(PhFTE,5),0)</f>
        <v>0.5</v>
      </c>
      <c r="T12" s="48" t="n">
        <f aca="false">IF(AND(18&gt;=INDEX(PhStart,5),18&lt;INDEX(PhStart,5)+INDEX(PhWeeks,5)),INDEX(PhFTE,5),0)</f>
        <v>0.5</v>
      </c>
      <c r="U12" s="48" t="n">
        <f aca="false">IF(AND(19&gt;=INDEX(PhStart,5),19&lt;INDEX(PhStart,5)+INDEX(PhWeeks,5)),INDEX(PhFTE,5),0)</f>
        <v>0.5</v>
      </c>
      <c r="V12" s="48" t="n">
        <f aca="false">IF(AND(20&gt;=INDEX(PhStart,5),20&lt;INDEX(PhStart,5)+INDEX(PhWeeks,5)),INDEX(PhFTE,5),0)</f>
        <v>0.5</v>
      </c>
      <c r="W12" s="48" t="n">
        <f aca="false">IF(AND(21&gt;=INDEX(PhStart,5),21&lt;INDEX(PhStart,5)+INDEX(PhWeeks,5)),INDEX(PhFTE,5),0)</f>
        <v>0.5</v>
      </c>
      <c r="X12" s="48" t="n">
        <f aca="false">IF(AND(22&gt;=INDEX(PhStart,5),22&lt;INDEX(PhStart,5)+INDEX(PhWeeks,5)),INDEX(PhFTE,5),0)</f>
        <v>0.5</v>
      </c>
      <c r="Y12" s="48" t="n">
        <f aca="false">IF(AND(23&gt;=INDEX(PhStart,5),23&lt;INDEX(PhStart,5)+INDEX(PhWeeks,5)),INDEX(PhFTE,5),0)</f>
        <v>0.5</v>
      </c>
      <c r="Z12" s="48" t="n">
        <f aca="false">IF(AND(24&gt;=INDEX(PhStart,5),24&lt;INDEX(PhStart,5)+INDEX(PhWeeks,5)),INDEX(PhFTE,5),0)</f>
        <v>0.5</v>
      </c>
      <c r="AA12" s="48" t="n">
        <f aca="false">IF(AND(25&gt;=INDEX(PhStart,5),25&lt;INDEX(PhStart,5)+INDEX(PhWeeks,5)),INDEX(PhFTE,5),0)</f>
        <v>0.5</v>
      </c>
      <c r="AB12" s="48" t="n">
        <f aca="false">IF(AND(26&gt;=INDEX(PhStart,5),26&lt;INDEX(PhStart,5)+INDEX(PhWeeks,5)),INDEX(PhFTE,5),0)</f>
        <v>0</v>
      </c>
      <c r="AC12" s="48" t="n">
        <f aca="false">IF(AND(27&gt;=INDEX(PhStart,5),27&lt;INDEX(PhStart,5)+INDEX(PhWeeks,5)),INDEX(PhFTE,5),0)</f>
        <v>0</v>
      </c>
      <c r="AD12" s="48" t="n">
        <f aca="false">IF(AND(28&gt;=INDEX(PhStart,5),28&lt;INDEX(PhStart,5)+INDEX(PhWeeks,5)),INDEX(PhFTE,5),0)</f>
        <v>0</v>
      </c>
      <c r="AE12" s="48" t="n">
        <f aca="false">IF(AND(29&gt;=INDEX(PhStart,5),29&lt;INDEX(PhStart,5)+INDEX(PhWeeks,5)),INDEX(PhFTE,5),0)</f>
        <v>0</v>
      </c>
      <c r="AF12" s="48" t="n">
        <f aca="false">IF(AND(30&gt;=INDEX(PhStart,5),30&lt;INDEX(PhStart,5)+INDEX(PhWeeks,5)),INDEX(PhFTE,5),0)</f>
        <v>0</v>
      </c>
      <c r="AG12" s="48" t="n">
        <f aca="false">IF(AND(31&gt;=INDEX(PhStart,5),31&lt;INDEX(PhStart,5)+INDEX(PhWeeks,5)),INDEX(PhFTE,5),0)</f>
        <v>0</v>
      </c>
      <c r="AH12" s="48" t="n">
        <f aca="false">IF(AND(32&gt;=INDEX(PhStart,5),32&lt;INDEX(PhStart,5)+INDEX(PhWeeks,5)),INDEX(PhFTE,5),0)</f>
        <v>0</v>
      </c>
      <c r="AI12" s="48" t="n">
        <f aca="false">IF(AND(33&gt;=INDEX(PhStart,5),33&lt;INDEX(PhStart,5)+INDEX(PhWeeks,5)),INDEX(PhFTE,5),0)</f>
        <v>0</v>
      </c>
      <c r="AJ12" s="48" t="n">
        <f aca="false">IF(AND(34&gt;=INDEX(PhStart,5),34&lt;INDEX(PhStart,5)+INDEX(PhWeeks,5)),INDEX(PhFTE,5),0)</f>
        <v>0</v>
      </c>
      <c r="AK12" s="48" t="n">
        <f aca="false">IF(AND(35&gt;=INDEX(PhStart,5),35&lt;INDEX(PhStart,5)+INDEX(PhWeeks,5)),INDEX(PhFTE,5),0)</f>
        <v>0</v>
      </c>
      <c r="AL12" s="48" t="n">
        <f aca="false">IF(AND(36&gt;=INDEX(PhStart,5),36&lt;INDEX(PhStart,5)+INDEX(PhWeeks,5)),INDEX(PhFTE,5),0)</f>
        <v>0</v>
      </c>
      <c r="AM12" s="48" t="n">
        <f aca="false">IF(AND(37&gt;=INDEX(PhStart,5),37&lt;INDEX(PhStart,5)+INDEX(PhWeeks,5)),INDEX(PhFTE,5),0)</f>
        <v>0</v>
      </c>
      <c r="AN12" s="48" t="n">
        <f aca="false">IF(AND(38&gt;=INDEX(PhStart,5),38&lt;INDEX(PhStart,5)+INDEX(PhWeeks,5)),INDEX(PhFTE,5),0)</f>
        <v>0</v>
      </c>
      <c r="AO12" s="48" t="n">
        <f aca="false">IF(AND(39&gt;=INDEX(PhStart,5),39&lt;INDEX(PhStart,5)+INDEX(PhWeeks,5)),INDEX(PhFTE,5),0)</f>
        <v>0</v>
      </c>
      <c r="AP12" s="48" t="n">
        <f aca="false">IF(AND(40&gt;=INDEX(PhStart,5),40&lt;INDEX(PhStart,5)+INDEX(PhWeeks,5)),INDEX(PhFTE,5),0)</f>
        <v>0</v>
      </c>
      <c r="AQ12" s="48" t="n">
        <f aca="false">IF(AND(41&gt;=INDEX(PhStart,5),41&lt;INDEX(PhStart,5)+INDEX(PhWeeks,5)),INDEX(PhFTE,5),0)</f>
        <v>0</v>
      </c>
      <c r="AR12" s="48" t="n">
        <f aca="false">IF(AND(42&gt;=INDEX(PhStart,5),42&lt;INDEX(PhStart,5)+INDEX(PhWeeks,5)),INDEX(PhFTE,5),0)</f>
        <v>0</v>
      </c>
      <c r="AS12" s="48" t="n">
        <f aca="false">IF(AND(43&gt;=INDEX(PhStart,5),43&lt;INDEX(PhStart,5)+INDEX(PhWeeks,5)),INDEX(PhFTE,5),0)</f>
        <v>0</v>
      </c>
      <c r="AT12" s="48" t="n">
        <f aca="false">IF(AND(44&gt;=INDEX(PhStart,5),44&lt;INDEX(PhStart,5)+INDEX(PhWeeks,5)),INDEX(PhFTE,5),0)</f>
        <v>0</v>
      </c>
      <c r="AU12" s="48" t="n">
        <f aca="false">IF(AND(45&gt;=INDEX(PhStart,5),45&lt;INDEX(PhStart,5)+INDEX(PhWeeks,5)),INDEX(PhFTE,5),0)</f>
        <v>0</v>
      </c>
      <c r="AV12" s="48" t="n">
        <f aca="false">IF(AND(46&gt;=INDEX(PhStart,5),46&lt;INDEX(PhStart,5)+INDEX(PhWeeks,5)),INDEX(PhFTE,5),0)</f>
        <v>0</v>
      </c>
      <c r="AW12" s="48" t="n">
        <f aca="false">IF(AND(47&gt;=INDEX(PhStart,5),47&lt;INDEX(PhStart,5)+INDEX(PhWeeks,5)),INDEX(PhFTE,5),0)</f>
        <v>0</v>
      </c>
      <c r="AX12" s="48" t="n">
        <f aca="false">IF(AND(48&gt;=INDEX(PhStart,5),48&lt;INDEX(PhStart,5)+INDEX(PhWeeks,5)),INDEX(PhFTE,5),0)</f>
        <v>0</v>
      </c>
      <c r="AY12" s="48" t="n">
        <f aca="false">IF(AND(49&gt;=INDEX(PhStart,5),49&lt;INDEX(PhStart,5)+INDEX(PhWeeks,5)),INDEX(PhFTE,5),0)</f>
        <v>0</v>
      </c>
      <c r="AZ12" s="48" t="n">
        <f aca="false">IF(AND(50&gt;=INDEX(PhStart,5),50&lt;INDEX(PhStart,5)+INDEX(PhWeeks,5)),INDEX(PhFTE,5),0)</f>
        <v>0</v>
      </c>
      <c r="BA12" s="48" t="n">
        <f aca="false">IF(AND(51&gt;=INDEX(PhStart,5),51&lt;INDEX(PhStart,5)+INDEX(PhWeeks,5)),INDEX(PhFTE,5),0)</f>
        <v>0</v>
      </c>
      <c r="BB12" s="48" t="n">
        <f aca="false">IF(AND(52&gt;=INDEX(PhStart,5),52&lt;INDEX(PhStart,5)+INDEX(PhWeeks,5)),INDEX(PhFTE,5),0)</f>
        <v>0</v>
      </c>
      <c r="BC12" s="49" t="n">
        <f aca="false">SUM(C12:BB12)</f>
        <v>8</v>
      </c>
      <c r="BD12" s="29" t="n">
        <f aca="false">BC12*HrsWk</f>
        <v>320</v>
      </c>
      <c r="BE12" s="1"/>
    </row>
    <row r="13" customFormat="false" ht="15" hidden="false" customHeight="false" outlineLevel="0" collapsed="false">
      <c r="A13" s="36" t="s">
        <v>84</v>
      </c>
      <c r="B13" s="1"/>
      <c r="C13" s="48" t="n">
        <f aca="false">IF(AND(1&gt;=INDEX(PhStart,6),1&lt;INDEX(PhStart,6)+INDEX(PhWeeks,6)),INDEX(PhFTE,6),0)</f>
        <v>0</v>
      </c>
      <c r="D13" s="48" t="n">
        <f aca="false">IF(AND(2&gt;=INDEX(PhStart,6),2&lt;INDEX(PhStart,6)+INDEX(PhWeeks,6)),INDEX(PhFTE,6),0)</f>
        <v>0</v>
      </c>
      <c r="E13" s="48" t="n">
        <f aca="false">IF(AND(3&gt;=INDEX(PhStart,6),3&lt;INDEX(PhStart,6)+INDEX(PhWeeks,6)),INDEX(PhFTE,6),0)</f>
        <v>0</v>
      </c>
      <c r="F13" s="48" t="n">
        <f aca="false">IF(AND(4&gt;=INDEX(PhStart,6),4&lt;INDEX(PhStart,6)+INDEX(PhWeeks,6)),INDEX(PhFTE,6),0)</f>
        <v>0</v>
      </c>
      <c r="G13" s="48" t="n">
        <f aca="false">IF(AND(5&gt;=INDEX(PhStart,6),5&lt;INDEX(PhStart,6)+INDEX(PhWeeks,6)),INDEX(PhFTE,6),0)</f>
        <v>0</v>
      </c>
      <c r="H13" s="48" t="n">
        <f aca="false">IF(AND(6&gt;=INDEX(PhStart,6),6&lt;INDEX(PhStart,6)+INDEX(PhWeeks,6)),INDEX(PhFTE,6),0)</f>
        <v>0</v>
      </c>
      <c r="I13" s="48" t="n">
        <f aca="false">IF(AND(7&gt;=INDEX(PhStart,6),7&lt;INDEX(PhStart,6)+INDEX(PhWeeks,6)),INDEX(PhFTE,6),0)</f>
        <v>0</v>
      </c>
      <c r="J13" s="48" t="n">
        <f aca="false">IF(AND(8&gt;=INDEX(PhStart,6),8&lt;INDEX(PhStart,6)+INDEX(PhWeeks,6)),INDEX(PhFTE,6),0)</f>
        <v>0</v>
      </c>
      <c r="K13" s="48" t="n">
        <f aca="false">IF(AND(9&gt;=INDEX(PhStart,6),9&lt;INDEX(PhStart,6)+INDEX(PhWeeks,6)),INDEX(PhFTE,6),0)</f>
        <v>0</v>
      </c>
      <c r="L13" s="48" t="n">
        <f aca="false">IF(AND(10&gt;=INDEX(PhStart,6),10&lt;INDEX(PhStart,6)+INDEX(PhWeeks,6)),INDEX(PhFTE,6),0)</f>
        <v>0</v>
      </c>
      <c r="M13" s="48" t="n">
        <f aca="false">IF(AND(11&gt;=INDEX(PhStart,6),11&lt;INDEX(PhStart,6)+INDEX(PhWeeks,6)),INDEX(PhFTE,6),0)</f>
        <v>0</v>
      </c>
      <c r="N13" s="48" t="n">
        <f aca="false">IF(AND(12&gt;=INDEX(PhStart,6),12&lt;INDEX(PhStart,6)+INDEX(PhWeeks,6)),INDEX(PhFTE,6),0)</f>
        <v>0</v>
      </c>
      <c r="O13" s="48" t="n">
        <f aca="false">IF(AND(13&gt;=INDEX(PhStart,6),13&lt;INDEX(PhStart,6)+INDEX(PhWeeks,6)),INDEX(PhFTE,6),0)</f>
        <v>0</v>
      </c>
      <c r="P13" s="48" t="n">
        <f aca="false">IF(AND(14&gt;=INDEX(PhStart,6),14&lt;INDEX(PhStart,6)+INDEX(PhWeeks,6)),INDEX(PhFTE,6),0)</f>
        <v>0</v>
      </c>
      <c r="Q13" s="48" t="n">
        <f aca="false">IF(AND(15&gt;=INDEX(PhStart,6),15&lt;INDEX(PhStart,6)+INDEX(PhWeeks,6)),INDEX(PhFTE,6),0)</f>
        <v>0</v>
      </c>
      <c r="R13" s="48" t="n">
        <f aca="false">IF(AND(16&gt;=INDEX(PhStart,6),16&lt;INDEX(PhStart,6)+INDEX(PhWeeks,6)),INDEX(PhFTE,6),0)</f>
        <v>0</v>
      </c>
      <c r="S13" s="48" t="n">
        <f aca="false">IF(AND(17&gt;=INDEX(PhStart,6),17&lt;INDEX(PhStart,6)+INDEX(PhWeeks,6)),INDEX(PhFTE,6),0)</f>
        <v>0</v>
      </c>
      <c r="T13" s="48" t="n">
        <f aca="false">IF(AND(18&gt;=INDEX(PhStart,6),18&lt;INDEX(PhStart,6)+INDEX(PhWeeks,6)),INDEX(PhFTE,6),0)</f>
        <v>0</v>
      </c>
      <c r="U13" s="48" t="n">
        <f aca="false">IF(AND(19&gt;=INDEX(PhStart,6),19&lt;INDEX(PhStart,6)+INDEX(PhWeeks,6)),INDEX(PhFTE,6),0)</f>
        <v>0</v>
      </c>
      <c r="V13" s="48" t="n">
        <f aca="false">IF(AND(20&gt;=INDEX(PhStart,6),20&lt;INDEX(PhStart,6)+INDEX(PhWeeks,6)),INDEX(PhFTE,6),0)</f>
        <v>0</v>
      </c>
      <c r="W13" s="48" t="n">
        <f aca="false">IF(AND(21&gt;=INDEX(PhStart,6),21&lt;INDEX(PhStart,6)+INDEX(PhWeeks,6)),INDEX(PhFTE,6),0)</f>
        <v>0</v>
      </c>
      <c r="X13" s="48" t="n">
        <f aca="false">IF(AND(22&gt;=INDEX(PhStart,6),22&lt;INDEX(PhStart,6)+INDEX(PhWeeks,6)),INDEX(PhFTE,6),0)</f>
        <v>0</v>
      </c>
      <c r="Y13" s="48" t="n">
        <f aca="false">IF(AND(23&gt;=INDEX(PhStart,6),23&lt;INDEX(PhStart,6)+INDEX(PhWeeks,6)),INDEX(PhFTE,6),0)</f>
        <v>0</v>
      </c>
      <c r="Z13" s="48" t="n">
        <f aca="false">IF(AND(24&gt;=INDEX(PhStart,6),24&lt;INDEX(PhStart,6)+INDEX(PhWeeks,6)),INDEX(PhFTE,6),0)</f>
        <v>0</v>
      </c>
      <c r="AA13" s="48" t="n">
        <f aca="false">IF(AND(25&gt;=INDEX(PhStart,6),25&lt;INDEX(PhStart,6)+INDEX(PhWeeks,6)),INDEX(PhFTE,6),0)</f>
        <v>0</v>
      </c>
      <c r="AB13" s="48" t="n">
        <f aca="false">IF(AND(26&gt;=INDEX(PhStart,6),26&lt;INDEX(PhStart,6)+INDEX(PhWeeks,6)),INDEX(PhFTE,6),0)</f>
        <v>2</v>
      </c>
      <c r="AC13" s="48" t="n">
        <f aca="false">IF(AND(27&gt;=INDEX(PhStart,6),27&lt;INDEX(PhStart,6)+INDEX(PhWeeks,6)),INDEX(PhFTE,6),0)</f>
        <v>2</v>
      </c>
      <c r="AD13" s="48" t="n">
        <f aca="false">IF(AND(28&gt;=INDEX(PhStart,6),28&lt;INDEX(PhStart,6)+INDEX(PhWeeks,6)),INDEX(PhFTE,6),0)</f>
        <v>0</v>
      </c>
      <c r="AE13" s="48" t="n">
        <f aca="false">IF(AND(29&gt;=INDEX(PhStart,6),29&lt;INDEX(PhStart,6)+INDEX(PhWeeks,6)),INDEX(PhFTE,6),0)</f>
        <v>0</v>
      </c>
      <c r="AF13" s="48" t="n">
        <f aca="false">IF(AND(30&gt;=INDEX(PhStart,6),30&lt;INDEX(PhStart,6)+INDEX(PhWeeks,6)),INDEX(PhFTE,6),0)</f>
        <v>0</v>
      </c>
      <c r="AG13" s="48" t="n">
        <f aca="false">IF(AND(31&gt;=INDEX(PhStart,6),31&lt;INDEX(PhStart,6)+INDEX(PhWeeks,6)),INDEX(PhFTE,6),0)</f>
        <v>0</v>
      </c>
      <c r="AH13" s="48" t="n">
        <f aca="false">IF(AND(32&gt;=INDEX(PhStart,6),32&lt;INDEX(PhStart,6)+INDEX(PhWeeks,6)),INDEX(PhFTE,6),0)</f>
        <v>0</v>
      </c>
      <c r="AI13" s="48" t="n">
        <f aca="false">IF(AND(33&gt;=INDEX(PhStart,6),33&lt;INDEX(PhStart,6)+INDEX(PhWeeks,6)),INDEX(PhFTE,6),0)</f>
        <v>0</v>
      </c>
      <c r="AJ13" s="48" t="n">
        <f aca="false">IF(AND(34&gt;=INDEX(PhStart,6),34&lt;INDEX(PhStart,6)+INDEX(PhWeeks,6)),INDEX(PhFTE,6),0)</f>
        <v>0</v>
      </c>
      <c r="AK13" s="48" t="n">
        <f aca="false">IF(AND(35&gt;=INDEX(PhStart,6),35&lt;INDEX(PhStart,6)+INDEX(PhWeeks,6)),INDEX(PhFTE,6),0)</f>
        <v>0</v>
      </c>
      <c r="AL13" s="48" t="n">
        <f aca="false">IF(AND(36&gt;=INDEX(PhStart,6),36&lt;INDEX(PhStart,6)+INDEX(PhWeeks,6)),INDEX(PhFTE,6),0)</f>
        <v>0</v>
      </c>
      <c r="AM13" s="48" t="n">
        <f aca="false">IF(AND(37&gt;=INDEX(PhStart,6),37&lt;INDEX(PhStart,6)+INDEX(PhWeeks,6)),INDEX(PhFTE,6),0)</f>
        <v>0</v>
      </c>
      <c r="AN13" s="48" t="n">
        <f aca="false">IF(AND(38&gt;=INDEX(PhStart,6),38&lt;INDEX(PhStart,6)+INDEX(PhWeeks,6)),INDEX(PhFTE,6),0)</f>
        <v>0</v>
      </c>
      <c r="AO13" s="48" t="n">
        <f aca="false">IF(AND(39&gt;=INDEX(PhStart,6),39&lt;INDEX(PhStart,6)+INDEX(PhWeeks,6)),INDEX(PhFTE,6),0)</f>
        <v>0</v>
      </c>
      <c r="AP13" s="48" t="n">
        <f aca="false">IF(AND(40&gt;=INDEX(PhStart,6),40&lt;INDEX(PhStart,6)+INDEX(PhWeeks,6)),INDEX(PhFTE,6),0)</f>
        <v>0</v>
      </c>
      <c r="AQ13" s="48" t="n">
        <f aca="false">IF(AND(41&gt;=INDEX(PhStart,6),41&lt;INDEX(PhStart,6)+INDEX(PhWeeks,6)),INDEX(PhFTE,6),0)</f>
        <v>0</v>
      </c>
      <c r="AR13" s="48" t="n">
        <f aca="false">IF(AND(42&gt;=INDEX(PhStart,6),42&lt;INDEX(PhStart,6)+INDEX(PhWeeks,6)),INDEX(PhFTE,6),0)</f>
        <v>0</v>
      </c>
      <c r="AS13" s="48" t="n">
        <f aca="false">IF(AND(43&gt;=INDEX(PhStart,6),43&lt;INDEX(PhStart,6)+INDEX(PhWeeks,6)),INDEX(PhFTE,6),0)</f>
        <v>0</v>
      </c>
      <c r="AT13" s="48" t="n">
        <f aca="false">IF(AND(44&gt;=INDEX(PhStart,6),44&lt;INDEX(PhStart,6)+INDEX(PhWeeks,6)),INDEX(PhFTE,6),0)</f>
        <v>0</v>
      </c>
      <c r="AU13" s="48" t="n">
        <f aca="false">IF(AND(45&gt;=INDEX(PhStart,6),45&lt;INDEX(PhStart,6)+INDEX(PhWeeks,6)),INDEX(PhFTE,6),0)</f>
        <v>0</v>
      </c>
      <c r="AV13" s="48" t="n">
        <f aca="false">IF(AND(46&gt;=INDEX(PhStart,6),46&lt;INDEX(PhStart,6)+INDEX(PhWeeks,6)),INDEX(PhFTE,6),0)</f>
        <v>0</v>
      </c>
      <c r="AW13" s="48" t="n">
        <f aca="false">IF(AND(47&gt;=INDEX(PhStart,6),47&lt;INDEX(PhStart,6)+INDEX(PhWeeks,6)),INDEX(PhFTE,6),0)</f>
        <v>0</v>
      </c>
      <c r="AX13" s="48" t="n">
        <f aca="false">IF(AND(48&gt;=INDEX(PhStart,6),48&lt;INDEX(PhStart,6)+INDEX(PhWeeks,6)),INDEX(PhFTE,6),0)</f>
        <v>0</v>
      </c>
      <c r="AY13" s="48" t="n">
        <f aca="false">IF(AND(49&gt;=INDEX(PhStart,6),49&lt;INDEX(PhStart,6)+INDEX(PhWeeks,6)),INDEX(PhFTE,6),0)</f>
        <v>0</v>
      </c>
      <c r="AZ13" s="48" t="n">
        <f aca="false">IF(AND(50&gt;=INDEX(PhStart,6),50&lt;INDEX(PhStart,6)+INDEX(PhWeeks,6)),INDEX(PhFTE,6),0)</f>
        <v>0</v>
      </c>
      <c r="BA13" s="48" t="n">
        <f aca="false">IF(AND(51&gt;=INDEX(PhStart,6),51&lt;INDEX(PhStart,6)+INDEX(PhWeeks,6)),INDEX(PhFTE,6),0)</f>
        <v>0</v>
      </c>
      <c r="BB13" s="48" t="n">
        <f aca="false">IF(AND(52&gt;=INDEX(PhStart,6),52&lt;INDEX(PhStart,6)+INDEX(PhWeeks,6)),INDEX(PhFTE,6),0)</f>
        <v>0</v>
      </c>
      <c r="BC13" s="49" t="n">
        <f aca="false">SUM(C13:BB13)</f>
        <v>4</v>
      </c>
      <c r="BD13" s="29" t="n">
        <f aca="false">BC13*HrsWk</f>
        <v>160</v>
      </c>
      <c r="BE13" s="1"/>
    </row>
    <row r="14" customFormat="false" ht="15" hidden="false" customHeight="false" outlineLevel="0" collapsed="false">
      <c r="A14" s="37" t="s">
        <v>86</v>
      </c>
      <c r="B14" s="1"/>
      <c r="C14" s="48" t="n">
        <f aca="false">IF(AND(1&gt;=INDEX(PhStart,7),1&lt;INDEX(PhStart,7)+INDEX(PhWeeks,7)),INDEX(PhFTE,7),0)</f>
        <v>1</v>
      </c>
      <c r="D14" s="48" t="n">
        <f aca="false">IF(AND(2&gt;=INDEX(PhStart,7),2&lt;INDEX(PhStart,7)+INDEX(PhWeeks,7)),INDEX(PhFTE,7),0)</f>
        <v>1</v>
      </c>
      <c r="E14" s="48" t="n">
        <f aca="false">IF(AND(3&gt;=INDEX(PhStart,7),3&lt;INDEX(PhStart,7)+INDEX(PhWeeks,7)),INDEX(PhFTE,7),0)</f>
        <v>1</v>
      </c>
      <c r="F14" s="48" t="n">
        <f aca="false">IF(AND(4&gt;=INDEX(PhStart,7),4&lt;INDEX(PhStart,7)+INDEX(PhWeeks,7)),INDEX(PhFTE,7),0)</f>
        <v>1</v>
      </c>
      <c r="G14" s="48" t="n">
        <f aca="false">IF(AND(5&gt;=INDEX(PhStart,7),5&lt;INDEX(PhStart,7)+INDEX(PhWeeks,7)),INDEX(PhFTE,7),0)</f>
        <v>1</v>
      </c>
      <c r="H14" s="48" t="n">
        <f aca="false">IF(AND(6&gt;=INDEX(PhStart,7),6&lt;INDEX(PhStart,7)+INDEX(PhWeeks,7)),INDEX(PhFTE,7),0)</f>
        <v>1</v>
      </c>
      <c r="I14" s="48" t="n">
        <f aca="false">IF(AND(7&gt;=INDEX(PhStart,7),7&lt;INDEX(PhStart,7)+INDEX(PhWeeks,7)),INDEX(PhFTE,7),0)</f>
        <v>1</v>
      </c>
      <c r="J14" s="48" t="n">
        <f aca="false">IF(AND(8&gt;=INDEX(PhStart,7),8&lt;INDEX(PhStart,7)+INDEX(PhWeeks,7)),INDEX(PhFTE,7),0)</f>
        <v>1</v>
      </c>
      <c r="K14" s="48" t="n">
        <f aca="false">IF(AND(9&gt;=INDEX(PhStart,7),9&lt;INDEX(PhStart,7)+INDEX(PhWeeks,7)),INDEX(PhFTE,7),0)</f>
        <v>1</v>
      </c>
      <c r="L14" s="48" t="n">
        <f aca="false">IF(AND(10&gt;=INDEX(PhStart,7),10&lt;INDEX(PhStart,7)+INDEX(PhWeeks,7)),INDEX(PhFTE,7),0)</f>
        <v>1</v>
      </c>
      <c r="M14" s="48" t="n">
        <f aca="false">IF(AND(11&gt;=INDEX(PhStart,7),11&lt;INDEX(PhStart,7)+INDEX(PhWeeks,7)),INDEX(PhFTE,7),0)</f>
        <v>1</v>
      </c>
      <c r="N14" s="48" t="n">
        <f aca="false">IF(AND(12&gt;=INDEX(PhStart,7),12&lt;INDEX(PhStart,7)+INDEX(PhWeeks,7)),INDEX(PhFTE,7),0)</f>
        <v>1</v>
      </c>
      <c r="O14" s="48" t="n">
        <f aca="false">IF(AND(13&gt;=INDEX(PhStart,7),13&lt;INDEX(PhStart,7)+INDEX(PhWeeks,7)),INDEX(PhFTE,7),0)</f>
        <v>1</v>
      </c>
      <c r="P14" s="48" t="n">
        <f aca="false">IF(AND(14&gt;=INDEX(PhStart,7),14&lt;INDEX(PhStart,7)+INDEX(PhWeeks,7)),INDEX(PhFTE,7),0)</f>
        <v>1</v>
      </c>
      <c r="Q14" s="48" t="n">
        <f aca="false">IF(AND(15&gt;=INDEX(PhStart,7),15&lt;INDEX(PhStart,7)+INDEX(PhWeeks,7)),INDEX(PhFTE,7),0)</f>
        <v>1</v>
      </c>
      <c r="R14" s="48" t="n">
        <f aca="false">IF(AND(16&gt;=INDEX(PhStart,7),16&lt;INDEX(PhStart,7)+INDEX(PhWeeks,7)),INDEX(PhFTE,7),0)</f>
        <v>1</v>
      </c>
      <c r="S14" s="48" t="n">
        <f aca="false">IF(AND(17&gt;=INDEX(PhStart,7),17&lt;INDEX(PhStart,7)+INDEX(PhWeeks,7)),INDEX(PhFTE,7),0)</f>
        <v>1</v>
      </c>
      <c r="T14" s="48" t="n">
        <f aca="false">IF(AND(18&gt;=INDEX(PhStart,7),18&lt;INDEX(PhStart,7)+INDEX(PhWeeks,7)),INDEX(PhFTE,7),0)</f>
        <v>1</v>
      </c>
      <c r="U14" s="48" t="n">
        <f aca="false">IF(AND(19&gt;=INDEX(PhStart,7),19&lt;INDEX(PhStart,7)+INDEX(PhWeeks,7)),INDEX(PhFTE,7),0)</f>
        <v>1</v>
      </c>
      <c r="V14" s="48" t="n">
        <f aca="false">IF(AND(20&gt;=INDEX(PhStart,7),20&lt;INDEX(PhStart,7)+INDEX(PhWeeks,7)),INDEX(PhFTE,7),0)</f>
        <v>1</v>
      </c>
      <c r="W14" s="48" t="n">
        <f aca="false">IF(AND(21&gt;=INDEX(PhStart,7),21&lt;INDEX(PhStart,7)+INDEX(PhWeeks,7)),INDEX(PhFTE,7),0)</f>
        <v>1</v>
      </c>
      <c r="X14" s="48" t="n">
        <f aca="false">IF(AND(22&gt;=INDEX(PhStart,7),22&lt;INDEX(PhStart,7)+INDEX(PhWeeks,7)),INDEX(PhFTE,7),0)</f>
        <v>1</v>
      </c>
      <c r="Y14" s="48" t="n">
        <f aca="false">IF(AND(23&gt;=INDEX(PhStart,7),23&lt;INDEX(PhStart,7)+INDEX(PhWeeks,7)),INDEX(PhFTE,7),0)</f>
        <v>1</v>
      </c>
      <c r="Z14" s="48" t="n">
        <f aca="false">IF(AND(24&gt;=INDEX(PhStart,7),24&lt;INDEX(PhStart,7)+INDEX(PhWeeks,7)),INDEX(PhFTE,7),0)</f>
        <v>1</v>
      </c>
      <c r="AA14" s="48" t="n">
        <f aca="false">IF(AND(25&gt;=INDEX(PhStart,7),25&lt;INDEX(PhStart,7)+INDEX(PhWeeks,7)),INDEX(PhFTE,7),0)</f>
        <v>1</v>
      </c>
      <c r="AB14" s="48" t="n">
        <f aca="false">IF(AND(26&gt;=INDEX(PhStart,7),26&lt;INDEX(PhStart,7)+INDEX(PhWeeks,7)),INDEX(PhFTE,7),0)</f>
        <v>1</v>
      </c>
      <c r="AC14" s="48" t="n">
        <f aca="false">IF(AND(27&gt;=INDEX(PhStart,7),27&lt;INDEX(PhStart,7)+INDEX(PhWeeks,7)),INDEX(PhFTE,7),0)</f>
        <v>1</v>
      </c>
      <c r="AD14" s="48" t="n">
        <f aca="false">IF(AND(28&gt;=INDEX(PhStart,7),28&lt;INDEX(PhStart,7)+INDEX(PhWeeks,7)),INDEX(PhFTE,7),0)</f>
        <v>0</v>
      </c>
      <c r="AE14" s="48" t="n">
        <f aca="false">IF(AND(29&gt;=INDEX(PhStart,7),29&lt;INDEX(PhStart,7)+INDEX(PhWeeks,7)),INDEX(PhFTE,7),0)</f>
        <v>0</v>
      </c>
      <c r="AF14" s="48" t="n">
        <f aca="false">IF(AND(30&gt;=INDEX(PhStart,7),30&lt;INDEX(PhStart,7)+INDEX(PhWeeks,7)),INDEX(PhFTE,7),0)</f>
        <v>0</v>
      </c>
      <c r="AG14" s="48" t="n">
        <f aca="false">IF(AND(31&gt;=INDEX(PhStart,7),31&lt;INDEX(PhStart,7)+INDEX(PhWeeks,7)),INDEX(PhFTE,7),0)</f>
        <v>0</v>
      </c>
      <c r="AH14" s="48" t="n">
        <f aca="false">IF(AND(32&gt;=INDEX(PhStart,7),32&lt;INDEX(PhStart,7)+INDEX(PhWeeks,7)),INDEX(PhFTE,7),0)</f>
        <v>0</v>
      </c>
      <c r="AI14" s="48" t="n">
        <f aca="false">IF(AND(33&gt;=INDEX(PhStart,7),33&lt;INDEX(PhStart,7)+INDEX(PhWeeks,7)),INDEX(PhFTE,7),0)</f>
        <v>0</v>
      </c>
      <c r="AJ14" s="48" t="n">
        <f aca="false">IF(AND(34&gt;=INDEX(PhStart,7),34&lt;INDEX(PhStart,7)+INDEX(PhWeeks,7)),INDEX(PhFTE,7),0)</f>
        <v>0</v>
      </c>
      <c r="AK14" s="48" t="n">
        <f aca="false">IF(AND(35&gt;=INDEX(PhStart,7),35&lt;INDEX(PhStart,7)+INDEX(PhWeeks,7)),INDEX(PhFTE,7),0)</f>
        <v>0</v>
      </c>
      <c r="AL14" s="48" t="n">
        <f aca="false">IF(AND(36&gt;=INDEX(PhStart,7),36&lt;INDEX(PhStart,7)+INDEX(PhWeeks,7)),INDEX(PhFTE,7),0)</f>
        <v>0</v>
      </c>
      <c r="AM14" s="48" t="n">
        <f aca="false">IF(AND(37&gt;=INDEX(PhStart,7),37&lt;INDEX(PhStart,7)+INDEX(PhWeeks,7)),INDEX(PhFTE,7),0)</f>
        <v>0</v>
      </c>
      <c r="AN14" s="48" t="n">
        <f aca="false">IF(AND(38&gt;=INDEX(PhStart,7),38&lt;INDEX(PhStart,7)+INDEX(PhWeeks,7)),INDEX(PhFTE,7),0)</f>
        <v>0</v>
      </c>
      <c r="AO14" s="48" t="n">
        <f aca="false">IF(AND(39&gt;=INDEX(PhStart,7),39&lt;INDEX(PhStart,7)+INDEX(PhWeeks,7)),INDEX(PhFTE,7),0)</f>
        <v>0</v>
      </c>
      <c r="AP14" s="48" t="n">
        <f aca="false">IF(AND(40&gt;=INDEX(PhStart,7),40&lt;INDEX(PhStart,7)+INDEX(PhWeeks,7)),INDEX(PhFTE,7),0)</f>
        <v>0</v>
      </c>
      <c r="AQ14" s="48" t="n">
        <f aca="false">IF(AND(41&gt;=INDEX(PhStart,7),41&lt;INDEX(PhStart,7)+INDEX(PhWeeks,7)),INDEX(PhFTE,7),0)</f>
        <v>0</v>
      </c>
      <c r="AR14" s="48" t="n">
        <f aca="false">IF(AND(42&gt;=INDEX(PhStart,7),42&lt;INDEX(PhStart,7)+INDEX(PhWeeks,7)),INDEX(PhFTE,7),0)</f>
        <v>0</v>
      </c>
      <c r="AS14" s="48" t="n">
        <f aca="false">IF(AND(43&gt;=INDEX(PhStart,7),43&lt;INDEX(PhStart,7)+INDEX(PhWeeks,7)),INDEX(PhFTE,7),0)</f>
        <v>0</v>
      </c>
      <c r="AT14" s="48" t="n">
        <f aca="false">IF(AND(44&gt;=INDEX(PhStart,7),44&lt;INDEX(PhStart,7)+INDEX(PhWeeks,7)),INDEX(PhFTE,7),0)</f>
        <v>0</v>
      </c>
      <c r="AU14" s="48" t="n">
        <f aca="false">IF(AND(45&gt;=INDEX(PhStart,7),45&lt;INDEX(PhStart,7)+INDEX(PhWeeks,7)),INDEX(PhFTE,7),0)</f>
        <v>0</v>
      </c>
      <c r="AV14" s="48" t="n">
        <f aca="false">IF(AND(46&gt;=INDEX(PhStart,7),46&lt;INDEX(PhStart,7)+INDEX(PhWeeks,7)),INDEX(PhFTE,7),0)</f>
        <v>0</v>
      </c>
      <c r="AW14" s="48" t="n">
        <f aca="false">IF(AND(47&gt;=INDEX(PhStart,7),47&lt;INDEX(PhStart,7)+INDEX(PhWeeks,7)),INDEX(PhFTE,7),0)</f>
        <v>0</v>
      </c>
      <c r="AX14" s="48" t="n">
        <f aca="false">IF(AND(48&gt;=INDEX(PhStart,7),48&lt;INDEX(PhStart,7)+INDEX(PhWeeks,7)),INDEX(PhFTE,7),0)</f>
        <v>0</v>
      </c>
      <c r="AY14" s="48" t="n">
        <f aca="false">IF(AND(49&gt;=INDEX(PhStart,7),49&lt;INDEX(PhStart,7)+INDEX(PhWeeks,7)),INDEX(PhFTE,7),0)</f>
        <v>0</v>
      </c>
      <c r="AZ14" s="48" t="n">
        <f aca="false">IF(AND(50&gt;=INDEX(PhStart,7),50&lt;INDEX(PhStart,7)+INDEX(PhWeeks,7)),INDEX(PhFTE,7),0)</f>
        <v>0</v>
      </c>
      <c r="BA14" s="48" t="n">
        <f aca="false">IF(AND(51&gt;=INDEX(PhStart,7),51&lt;INDEX(PhStart,7)+INDEX(PhWeeks,7)),INDEX(PhFTE,7),0)</f>
        <v>0</v>
      </c>
      <c r="BB14" s="48" t="n">
        <f aca="false">IF(AND(52&gt;=INDEX(PhStart,7),52&lt;INDEX(PhStart,7)+INDEX(PhWeeks,7)),INDEX(PhFTE,7),0)</f>
        <v>0</v>
      </c>
      <c r="BC14" s="49" t="n">
        <f aca="false">SUM(C14:BB14)</f>
        <v>27</v>
      </c>
      <c r="BD14" s="29" t="n">
        <f aca="false">BC14*HrsWk</f>
        <v>1080</v>
      </c>
      <c r="BE14" s="1"/>
    </row>
    <row r="15" customFormat="false" ht="15" hidden="false" customHeight="false" outlineLevel="0" collapsed="false">
      <c r="A15" s="24" t="s">
        <v>170</v>
      </c>
      <c r="B15" s="1"/>
      <c r="C15" s="50" t="n">
        <f aca="false">SUM(C8:C14)</f>
        <v>3</v>
      </c>
      <c r="D15" s="50" t="n">
        <f aca="false">SUM(D8:D14)</f>
        <v>3</v>
      </c>
      <c r="E15" s="50" t="n">
        <f aca="false">SUM(E8:E14)</f>
        <v>3</v>
      </c>
      <c r="F15" s="50" t="n">
        <f aca="false">SUM(F8:F14)</f>
        <v>3</v>
      </c>
      <c r="G15" s="50" t="n">
        <f aca="false">SUM(G8:G14)</f>
        <v>3</v>
      </c>
      <c r="H15" s="50" t="n">
        <f aca="false">SUM(H8:H14)</f>
        <v>7</v>
      </c>
      <c r="I15" s="50" t="n">
        <f aca="false">SUM(I8:I14)</f>
        <v>7</v>
      </c>
      <c r="J15" s="50" t="n">
        <f aca="false">SUM(J8:J14)</f>
        <v>8</v>
      </c>
      <c r="K15" s="50" t="n">
        <f aca="false">SUM(K8:K14)</f>
        <v>8</v>
      </c>
      <c r="L15" s="50" t="n">
        <f aca="false">SUM(L8:L14)</f>
        <v>9</v>
      </c>
      <c r="M15" s="50" t="n">
        <f aca="false">SUM(M8:M14)</f>
        <v>9</v>
      </c>
      <c r="N15" s="50" t="n">
        <f aca="false">SUM(N8:N14)</f>
        <v>9</v>
      </c>
      <c r="O15" s="50" t="n">
        <f aca="false">SUM(O8:O14)</f>
        <v>9</v>
      </c>
      <c r="P15" s="50" t="n">
        <f aca="false">SUM(P8:P14)</f>
        <v>9</v>
      </c>
      <c r="Q15" s="50" t="n">
        <f aca="false">SUM(Q8:Q14)</f>
        <v>9</v>
      </c>
      <c r="R15" s="50" t="n">
        <f aca="false">SUM(R8:R14)</f>
        <v>9</v>
      </c>
      <c r="S15" s="50" t="n">
        <f aca="false">SUM(S8:S14)</f>
        <v>9</v>
      </c>
      <c r="T15" s="50" t="n">
        <f aca="false">SUM(T8:T14)</f>
        <v>9</v>
      </c>
      <c r="U15" s="50" t="n">
        <f aca="false">SUM(U8:U14)</f>
        <v>9</v>
      </c>
      <c r="V15" s="50" t="n">
        <f aca="false">SUM(V8:V14)</f>
        <v>9</v>
      </c>
      <c r="W15" s="50" t="n">
        <f aca="false">SUM(W8:W14)</f>
        <v>9</v>
      </c>
      <c r="X15" s="50" t="n">
        <f aca="false">SUM(X8:X14)</f>
        <v>3</v>
      </c>
      <c r="Y15" s="50" t="n">
        <f aca="false">SUM(Y8:Y14)</f>
        <v>3</v>
      </c>
      <c r="Z15" s="50" t="n">
        <f aca="false">SUM(Z8:Z14)</f>
        <v>2</v>
      </c>
      <c r="AA15" s="50" t="n">
        <f aca="false">SUM(AA8:AA14)</f>
        <v>2</v>
      </c>
      <c r="AB15" s="50" t="n">
        <f aca="false">SUM(AB8:AB14)</f>
        <v>3</v>
      </c>
      <c r="AC15" s="50" t="n">
        <f aca="false">SUM(AC8:AC14)</f>
        <v>3</v>
      </c>
      <c r="AD15" s="50" t="n">
        <f aca="false">SUM(AD8:AD14)</f>
        <v>0</v>
      </c>
      <c r="AE15" s="50" t="n">
        <f aca="false">SUM(AE8:AE14)</f>
        <v>0</v>
      </c>
      <c r="AF15" s="50" t="n">
        <f aca="false">SUM(AF8:AF14)</f>
        <v>0</v>
      </c>
      <c r="AG15" s="50" t="n">
        <f aca="false">SUM(AG8:AG14)</f>
        <v>0</v>
      </c>
      <c r="AH15" s="50" t="n">
        <f aca="false">SUM(AH8:AH14)</f>
        <v>0</v>
      </c>
      <c r="AI15" s="50" t="n">
        <f aca="false">SUM(AI8:AI14)</f>
        <v>0</v>
      </c>
      <c r="AJ15" s="50" t="n">
        <f aca="false">SUM(AJ8:AJ14)</f>
        <v>0</v>
      </c>
      <c r="AK15" s="50" t="n">
        <f aca="false">SUM(AK8:AK14)</f>
        <v>0</v>
      </c>
      <c r="AL15" s="50" t="n">
        <f aca="false">SUM(AL8:AL14)</f>
        <v>0</v>
      </c>
      <c r="AM15" s="50" t="n">
        <f aca="false">SUM(AM8:AM14)</f>
        <v>0</v>
      </c>
      <c r="AN15" s="50" t="n">
        <f aca="false">SUM(AN8:AN14)</f>
        <v>0</v>
      </c>
      <c r="AO15" s="50" t="n">
        <f aca="false">SUM(AO8:AO14)</f>
        <v>0</v>
      </c>
      <c r="AP15" s="50" t="n">
        <f aca="false">SUM(AP8:AP14)</f>
        <v>0</v>
      </c>
      <c r="AQ15" s="50" t="n">
        <f aca="false">SUM(AQ8:AQ14)</f>
        <v>0</v>
      </c>
      <c r="AR15" s="50" t="n">
        <f aca="false">SUM(AR8:AR14)</f>
        <v>0</v>
      </c>
      <c r="AS15" s="50" t="n">
        <f aca="false">SUM(AS8:AS14)</f>
        <v>0</v>
      </c>
      <c r="AT15" s="50" t="n">
        <f aca="false">SUM(AT8:AT14)</f>
        <v>0</v>
      </c>
      <c r="AU15" s="50" t="n">
        <f aca="false">SUM(AU8:AU14)</f>
        <v>0</v>
      </c>
      <c r="AV15" s="50" t="n">
        <f aca="false">SUM(AV8:AV14)</f>
        <v>0</v>
      </c>
      <c r="AW15" s="50" t="n">
        <f aca="false">SUM(AW8:AW14)</f>
        <v>0</v>
      </c>
      <c r="AX15" s="50" t="n">
        <f aca="false">SUM(AX8:AX14)</f>
        <v>0</v>
      </c>
      <c r="AY15" s="50" t="n">
        <f aca="false">SUM(AY8:AY14)</f>
        <v>0</v>
      </c>
      <c r="AZ15" s="50" t="n">
        <f aca="false">SUM(AZ8:AZ14)</f>
        <v>0</v>
      </c>
      <c r="BA15" s="50" t="n">
        <f aca="false">SUM(BA8:BA14)</f>
        <v>0</v>
      </c>
      <c r="BB15" s="50" t="n">
        <f aca="false">SUM(BB8:BB14)</f>
        <v>0</v>
      </c>
      <c r="BC15" s="1"/>
      <c r="BD15" s="1"/>
      <c r="BE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</row>
    <row r="17" customFormat="false" ht="19.5" hidden="false" customHeight="true" outlineLevel="0" collapsed="false">
      <c r="A17" s="17" t="s">
        <v>171</v>
      </c>
      <c r="B17" s="17" t="s">
        <v>172</v>
      </c>
      <c r="C17" s="17" t="s">
        <v>116</v>
      </c>
      <c r="D17" s="17" t="s">
        <v>117</v>
      </c>
      <c r="E17" s="17" t="s">
        <v>118</v>
      </c>
      <c r="F17" s="17" t="s">
        <v>119</v>
      </c>
      <c r="G17" s="17" t="s">
        <v>120</v>
      </c>
      <c r="H17" s="17" t="s">
        <v>121</v>
      </c>
      <c r="I17" s="17" t="s">
        <v>122</v>
      </c>
      <c r="J17" s="17" t="s">
        <v>123</v>
      </c>
      <c r="K17" s="17" t="s">
        <v>124</v>
      </c>
      <c r="L17" s="17" t="s">
        <v>125</v>
      </c>
      <c r="M17" s="17" t="s">
        <v>126</v>
      </c>
      <c r="N17" s="17" t="s">
        <v>127</v>
      </c>
      <c r="O17" s="17" t="s">
        <v>128</v>
      </c>
      <c r="P17" s="17" t="s">
        <v>129</v>
      </c>
      <c r="Q17" s="17" t="s">
        <v>130</v>
      </c>
      <c r="R17" s="17" t="s">
        <v>131</v>
      </c>
      <c r="S17" s="17" t="s">
        <v>132</v>
      </c>
      <c r="T17" s="17" t="s">
        <v>133</v>
      </c>
      <c r="U17" s="17" t="s">
        <v>134</v>
      </c>
      <c r="V17" s="17" t="s">
        <v>135</v>
      </c>
      <c r="W17" s="17" t="s">
        <v>136</v>
      </c>
      <c r="X17" s="17" t="s">
        <v>137</v>
      </c>
      <c r="Y17" s="17" t="s">
        <v>138</v>
      </c>
      <c r="Z17" s="17" t="s">
        <v>139</v>
      </c>
      <c r="AA17" s="17" t="s">
        <v>140</v>
      </c>
      <c r="AB17" s="17" t="s">
        <v>141</v>
      </c>
      <c r="AC17" s="17" t="s">
        <v>142</v>
      </c>
      <c r="AD17" s="17" t="s">
        <v>143</v>
      </c>
      <c r="AE17" s="17" t="s">
        <v>144</v>
      </c>
      <c r="AF17" s="17" t="s">
        <v>145</v>
      </c>
      <c r="AG17" s="17" t="s">
        <v>146</v>
      </c>
      <c r="AH17" s="17" t="s">
        <v>147</v>
      </c>
      <c r="AI17" s="17" t="s">
        <v>148</v>
      </c>
      <c r="AJ17" s="17" t="s">
        <v>149</v>
      </c>
      <c r="AK17" s="17" t="s">
        <v>150</v>
      </c>
      <c r="AL17" s="17" t="s">
        <v>151</v>
      </c>
      <c r="AM17" s="17" t="s">
        <v>152</v>
      </c>
      <c r="AN17" s="17" t="s">
        <v>153</v>
      </c>
      <c r="AO17" s="17" t="s">
        <v>154</v>
      </c>
      <c r="AP17" s="17" t="s">
        <v>155</v>
      </c>
      <c r="AQ17" s="17" t="s">
        <v>156</v>
      </c>
      <c r="AR17" s="17" t="s">
        <v>157</v>
      </c>
      <c r="AS17" s="17" t="s">
        <v>158</v>
      </c>
      <c r="AT17" s="17" t="s">
        <v>159</v>
      </c>
      <c r="AU17" s="17" t="s">
        <v>160</v>
      </c>
      <c r="AV17" s="17" t="s">
        <v>161</v>
      </c>
      <c r="AW17" s="17" t="s">
        <v>162</v>
      </c>
      <c r="AX17" s="17" t="s">
        <v>163</v>
      </c>
      <c r="AY17" s="17" t="s">
        <v>164</v>
      </c>
      <c r="AZ17" s="17" t="s">
        <v>165</v>
      </c>
      <c r="BA17" s="17" t="s">
        <v>166</v>
      </c>
      <c r="BB17" s="17" t="s">
        <v>167</v>
      </c>
      <c r="BC17" s="17" t="s">
        <v>173</v>
      </c>
      <c r="BD17" s="17" t="s">
        <v>71</v>
      </c>
      <c r="BE17" s="17" t="s">
        <v>72</v>
      </c>
    </row>
    <row r="18" customFormat="false" ht="15" hidden="false" customHeight="false" outlineLevel="0" collapsed="false">
      <c r="A18" s="24" t="s">
        <v>174</v>
      </c>
      <c r="B18" s="51" t="n">
        <f aca="false">IFERROR(INDEX(RateVals,MATCH("Architect II | G11 | India",RateKeys,0)),0)</f>
        <v>70</v>
      </c>
      <c r="C18" s="52" t="n">
        <f aca="false">SUMPRODUCT(C$8:C$14,Reference!$B$61:$B$67)</f>
        <v>1</v>
      </c>
      <c r="D18" s="52" t="n">
        <f aca="false">SUMPRODUCT(D$8:D$14,Reference!$B$61:$B$67)</f>
        <v>1</v>
      </c>
      <c r="E18" s="52" t="n">
        <f aca="false">SUMPRODUCT(E$8:E$14,Reference!$B$61:$B$67)</f>
        <v>1</v>
      </c>
      <c r="F18" s="52" t="n">
        <f aca="false">SUMPRODUCT(F$8:F$14,Reference!$B$61:$B$67)</f>
        <v>1</v>
      </c>
      <c r="G18" s="52" t="n">
        <f aca="false">SUMPRODUCT(G$8:G$14,Reference!$B$61:$B$67)</f>
        <v>1</v>
      </c>
      <c r="H18" s="52" t="n">
        <f aca="false">SUMPRODUCT(H$8:H$14,Reference!$B$61:$B$67)</f>
        <v>0.6</v>
      </c>
      <c r="I18" s="52" t="n">
        <f aca="false">SUMPRODUCT(I$8:I$14,Reference!$B$61:$B$67)</f>
        <v>0.6</v>
      </c>
      <c r="J18" s="52" t="n">
        <f aca="false">SUMPRODUCT(J$8:J$14,Reference!$B$61:$B$67)</f>
        <v>0.6</v>
      </c>
      <c r="K18" s="52" t="n">
        <f aca="false">SUMPRODUCT(K$8:K$14,Reference!$B$61:$B$67)</f>
        <v>0.6</v>
      </c>
      <c r="L18" s="52" t="n">
        <f aca="false">SUMPRODUCT(L$8:L$14,Reference!$B$61:$B$67)</f>
        <v>0.6</v>
      </c>
      <c r="M18" s="52" t="n">
        <f aca="false">SUMPRODUCT(M$8:M$14,Reference!$B$61:$B$67)</f>
        <v>0.6</v>
      </c>
      <c r="N18" s="52" t="n">
        <f aca="false">SUMPRODUCT(N$8:N$14,Reference!$B$61:$B$67)</f>
        <v>0.6</v>
      </c>
      <c r="O18" s="52" t="n">
        <f aca="false">SUMPRODUCT(O$8:O$14,Reference!$B$61:$B$67)</f>
        <v>0.6</v>
      </c>
      <c r="P18" s="52" t="n">
        <f aca="false">SUMPRODUCT(P$8:P$14,Reference!$B$61:$B$67)</f>
        <v>0.6</v>
      </c>
      <c r="Q18" s="52" t="n">
        <f aca="false">SUMPRODUCT(Q$8:Q$14,Reference!$B$61:$B$67)</f>
        <v>0.6</v>
      </c>
      <c r="R18" s="52" t="n">
        <f aca="false">SUMPRODUCT(R$8:R$14,Reference!$B$61:$B$67)</f>
        <v>0.6</v>
      </c>
      <c r="S18" s="52" t="n">
        <f aca="false">SUMPRODUCT(S$8:S$14,Reference!$B$61:$B$67)</f>
        <v>0.6</v>
      </c>
      <c r="T18" s="52" t="n">
        <f aca="false">SUMPRODUCT(T$8:T$14,Reference!$B$61:$B$67)</f>
        <v>0.6</v>
      </c>
      <c r="U18" s="52" t="n">
        <f aca="false">SUMPRODUCT(U$8:U$14,Reference!$B$61:$B$67)</f>
        <v>0.6</v>
      </c>
      <c r="V18" s="52" t="n">
        <f aca="false">SUMPRODUCT(V$8:V$14,Reference!$B$61:$B$67)</f>
        <v>0.6</v>
      </c>
      <c r="W18" s="52" t="n">
        <f aca="false">SUMPRODUCT(W$8:W$14,Reference!$B$61:$B$67)</f>
        <v>0.6</v>
      </c>
      <c r="X18" s="52" t="n">
        <f aca="false">SUMPRODUCT(X$8:X$14,Reference!$B$61:$B$67)</f>
        <v>0</v>
      </c>
      <c r="Y18" s="52" t="n">
        <f aca="false">SUMPRODUCT(Y$8:Y$14,Reference!$B$61:$B$67)</f>
        <v>0</v>
      </c>
      <c r="Z18" s="52" t="n">
        <f aca="false">SUMPRODUCT(Z$8:Z$14,Reference!$B$61:$B$67)</f>
        <v>0</v>
      </c>
      <c r="AA18" s="52" t="n">
        <f aca="false">SUMPRODUCT(AA$8:AA$14,Reference!$B$61:$B$67)</f>
        <v>0</v>
      </c>
      <c r="AB18" s="52" t="n">
        <f aca="false">SUMPRODUCT(AB$8:AB$14,Reference!$B$61:$B$67)</f>
        <v>0</v>
      </c>
      <c r="AC18" s="52" t="n">
        <f aca="false">SUMPRODUCT(AC$8:AC$14,Reference!$B$61:$B$67)</f>
        <v>0</v>
      </c>
      <c r="AD18" s="52" t="n">
        <f aca="false">SUMPRODUCT(AD$8:AD$14,Reference!$B$61:$B$67)</f>
        <v>0</v>
      </c>
      <c r="AE18" s="52" t="n">
        <f aca="false">SUMPRODUCT(AE$8:AE$14,Reference!$B$61:$B$67)</f>
        <v>0</v>
      </c>
      <c r="AF18" s="52" t="n">
        <f aca="false">SUMPRODUCT(AF$8:AF$14,Reference!$B$61:$B$67)</f>
        <v>0</v>
      </c>
      <c r="AG18" s="52" t="n">
        <f aca="false">SUMPRODUCT(AG$8:AG$14,Reference!$B$61:$B$67)</f>
        <v>0</v>
      </c>
      <c r="AH18" s="52" t="n">
        <f aca="false">SUMPRODUCT(AH$8:AH$14,Reference!$B$61:$B$67)</f>
        <v>0</v>
      </c>
      <c r="AI18" s="52" t="n">
        <f aca="false">SUMPRODUCT(AI$8:AI$14,Reference!$B$61:$B$67)</f>
        <v>0</v>
      </c>
      <c r="AJ18" s="52" t="n">
        <f aca="false">SUMPRODUCT(AJ$8:AJ$14,Reference!$B$61:$B$67)</f>
        <v>0</v>
      </c>
      <c r="AK18" s="52" t="n">
        <f aca="false">SUMPRODUCT(AK$8:AK$14,Reference!$B$61:$B$67)</f>
        <v>0</v>
      </c>
      <c r="AL18" s="52" t="n">
        <f aca="false">SUMPRODUCT(AL$8:AL$14,Reference!$B$61:$B$67)</f>
        <v>0</v>
      </c>
      <c r="AM18" s="52" t="n">
        <f aca="false">SUMPRODUCT(AM$8:AM$14,Reference!$B$61:$B$67)</f>
        <v>0</v>
      </c>
      <c r="AN18" s="52" t="n">
        <f aca="false">SUMPRODUCT(AN$8:AN$14,Reference!$B$61:$B$67)</f>
        <v>0</v>
      </c>
      <c r="AO18" s="52" t="n">
        <f aca="false">SUMPRODUCT(AO$8:AO$14,Reference!$B$61:$B$67)</f>
        <v>0</v>
      </c>
      <c r="AP18" s="52" t="n">
        <f aca="false">SUMPRODUCT(AP$8:AP$14,Reference!$B$61:$B$67)</f>
        <v>0</v>
      </c>
      <c r="AQ18" s="52" t="n">
        <f aca="false">SUMPRODUCT(AQ$8:AQ$14,Reference!$B$61:$B$67)</f>
        <v>0</v>
      </c>
      <c r="AR18" s="52" t="n">
        <f aca="false">SUMPRODUCT(AR$8:AR$14,Reference!$B$61:$B$67)</f>
        <v>0</v>
      </c>
      <c r="AS18" s="52" t="n">
        <f aca="false">SUMPRODUCT(AS$8:AS$14,Reference!$B$61:$B$67)</f>
        <v>0</v>
      </c>
      <c r="AT18" s="52" t="n">
        <f aca="false">SUMPRODUCT(AT$8:AT$14,Reference!$B$61:$B$67)</f>
        <v>0</v>
      </c>
      <c r="AU18" s="52" t="n">
        <f aca="false">SUMPRODUCT(AU$8:AU$14,Reference!$B$61:$B$67)</f>
        <v>0</v>
      </c>
      <c r="AV18" s="52" t="n">
        <f aca="false">SUMPRODUCT(AV$8:AV$14,Reference!$B$61:$B$67)</f>
        <v>0</v>
      </c>
      <c r="AW18" s="52" t="n">
        <f aca="false">SUMPRODUCT(AW$8:AW$14,Reference!$B$61:$B$67)</f>
        <v>0</v>
      </c>
      <c r="AX18" s="52" t="n">
        <f aca="false">SUMPRODUCT(AX$8:AX$14,Reference!$B$61:$B$67)</f>
        <v>0</v>
      </c>
      <c r="AY18" s="52" t="n">
        <f aca="false">SUMPRODUCT(AY$8:AY$14,Reference!$B$61:$B$67)</f>
        <v>0</v>
      </c>
      <c r="AZ18" s="52" t="n">
        <f aca="false">SUMPRODUCT(AZ$8:AZ$14,Reference!$B$61:$B$67)</f>
        <v>0</v>
      </c>
      <c r="BA18" s="52" t="n">
        <f aca="false">SUMPRODUCT(BA$8:BA$14,Reference!$B$61:$B$67)</f>
        <v>0</v>
      </c>
      <c r="BB18" s="52" t="n">
        <f aca="false">SUMPRODUCT(BB$8:BB$14,Reference!$B$61:$B$67)</f>
        <v>0</v>
      </c>
      <c r="BC18" s="49" t="n">
        <f aca="false">SUM(C18:BB18)</f>
        <v>14.6</v>
      </c>
      <c r="BD18" s="29" t="n">
        <f aca="false">BC18*HrsWk</f>
        <v>584</v>
      </c>
      <c r="BE18" s="30" t="n">
        <f aca="false">BD18*B18</f>
        <v>40880</v>
      </c>
    </row>
    <row r="19" customFormat="false" ht="15" hidden="false" customHeight="false" outlineLevel="0" collapsed="false">
      <c r="A19" s="24" t="s">
        <v>175</v>
      </c>
      <c r="B19" s="51" t="n">
        <f aca="false">IFERROR(INDEX(RateVals,MATCH("Lead II | G11 | India",RateKeys,0)),0)</f>
        <v>70</v>
      </c>
      <c r="C19" s="52" t="n">
        <f aca="false">SUMPRODUCT(C$8:C$14,Reference!$C$61:$C$67)</f>
        <v>1</v>
      </c>
      <c r="D19" s="52" t="n">
        <f aca="false">SUMPRODUCT(D$8:D$14,Reference!$C$61:$C$67)</f>
        <v>1</v>
      </c>
      <c r="E19" s="52" t="n">
        <f aca="false">SUMPRODUCT(E$8:E$14,Reference!$C$61:$C$67)</f>
        <v>1</v>
      </c>
      <c r="F19" s="52" t="n">
        <f aca="false">SUMPRODUCT(F$8:F$14,Reference!$C$61:$C$67)</f>
        <v>1</v>
      </c>
      <c r="G19" s="52" t="n">
        <f aca="false">SUMPRODUCT(G$8:G$14,Reference!$C$61:$C$67)</f>
        <v>1</v>
      </c>
      <c r="H19" s="52" t="n">
        <f aca="false">SUMPRODUCT(H$8:H$14,Reference!$C$61:$C$67)</f>
        <v>0.9</v>
      </c>
      <c r="I19" s="52" t="n">
        <f aca="false">SUMPRODUCT(I$8:I$14,Reference!$C$61:$C$67)</f>
        <v>0.9</v>
      </c>
      <c r="J19" s="52" t="n">
        <f aca="false">SUMPRODUCT(J$8:J$14,Reference!$C$61:$C$67)</f>
        <v>0.9</v>
      </c>
      <c r="K19" s="52" t="n">
        <f aca="false">SUMPRODUCT(K$8:K$14,Reference!$C$61:$C$67)</f>
        <v>0.9</v>
      </c>
      <c r="L19" s="52" t="n">
        <f aca="false">SUMPRODUCT(L$8:L$14,Reference!$C$61:$C$67)</f>
        <v>1.05</v>
      </c>
      <c r="M19" s="52" t="n">
        <f aca="false">SUMPRODUCT(M$8:M$14,Reference!$C$61:$C$67)</f>
        <v>1.05</v>
      </c>
      <c r="N19" s="52" t="n">
        <f aca="false">SUMPRODUCT(N$8:N$14,Reference!$C$61:$C$67)</f>
        <v>1.05</v>
      </c>
      <c r="O19" s="52" t="n">
        <f aca="false">SUMPRODUCT(O$8:O$14,Reference!$C$61:$C$67)</f>
        <v>1.05</v>
      </c>
      <c r="P19" s="52" t="n">
        <f aca="false">SUMPRODUCT(P$8:P$14,Reference!$C$61:$C$67)</f>
        <v>1.05</v>
      </c>
      <c r="Q19" s="52" t="n">
        <f aca="false">SUMPRODUCT(Q$8:Q$14,Reference!$C$61:$C$67)</f>
        <v>1.05</v>
      </c>
      <c r="R19" s="52" t="n">
        <f aca="false">SUMPRODUCT(R$8:R$14,Reference!$C$61:$C$67)</f>
        <v>1.05</v>
      </c>
      <c r="S19" s="52" t="n">
        <f aca="false">SUMPRODUCT(S$8:S$14,Reference!$C$61:$C$67)</f>
        <v>1.05</v>
      </c>
      <c r="T19" s="52" t="n">
        <f aca="false">SUMPRODUCT(T$8:T$14,Reference!$C$61:$C$67)</f>
        <v>1.05</v>
      </c>
      <c r="U19" s="52" t="n">
        <f aca="false">SUMPRODUCT(U$8:U$14,Reference!$C$61:$C$67)</f>
        <v>1.05</v>
      </c>
      <c r="V19" s="52" t="n">
        <f aca="false">SUMPRODUCT(V$8:V$14,Reference!$C$61:$C$67)</f>
        <v>1.05</v>
      </c>
      <c r="W19" s="52" t="n">
        <f aca="false">SUMPRODUCT(W$8:W$14,Reference!$C$61:$C$67)</f>
        <v>1.05</v>
      </c>
      <c r="X19" s="52" t="n">
        <f aca="false">SUMPRODUCT(X$8:X$14,Reference!$C$61:$C$67)</f>
        <v>0.15</v>
      </c>
      <c r="Y19" s="52" t="n">
        <f aca="false">SUMPRODUCT(Y$8:Y$14,Reference!$C$61:$C$67)</f>
        <v>0.15</v>
      </c>
      <c r="Z19" s="52" t="n">
        <f aca="false">SUMPRODUCT(Z$8:Z$14,Reference!$C$61:$C$67)</f>
        <v>0.15</v>
      </c>
      <c r="AA19" s="52" t="n">
        <f aca="false">SUMPRODUCT(AA$8:AA$14,Reference!$C$61:$C$67)</f>
        <v>0.15</v>
      </c>
      <c r="AB19" s="52" t="n">
        <f aca="false">SUMPRODUCT(AB$8:AB$14,Reference!$C$61:$C$67)</f>
        <v>1</v>
      </c>
      <c r="AC19" s="52" t="n">
        <f aca="false">SUMPRODUCT(AC$8:AC$14,Reference!$C$61:$C$67)</f>
        <v>1</v>
      </c>
      <c r="AD19" s="52" t="n">
        <f aca="false">SUMPRODUCT(AD$8:AD$14,Reference!$C$61:$C$67)</f>
        <v>0</v>
      </c>
      <c r="AE19" s="52" t="n">
        <f aca="false">SUMPRODUCT(AE$8:AE$14,Reference!$C$61:$C$67)</f>
        <v>0</v>
      </c>
      <c r="AF19" s="52" t="n">
        <f aca="false">SUMPRODUCT(AF$8:AF$14,Reference!$C$61:$C$67)</f>
        <v>0</v>
      </c>
      <c r="AG19" s="52" t="n">
        <f aca="false">SUMPRODUCT(AG$8:AG$14,Reference!$C$61:$C$67)</f>
        <v>0</v>
      </c>
      <c r="AH19" s="52" t="n">
        <f aca="false">SUMPRODUCT(AH$8:AH$14,Reference!$C$61:$C$67)</f>
        <v>0</v>
      </c>
      <c r="AI19" s="52" t="n">
        <f aca="false">SUMPRODUCT(AI$8:AI$14,Reference!$C$61:$C$67)</f>
        <v>0</v>
      </c>
      <c r="AJ19" s="52" t="n">
        <f aca="false">SUMPRODUCT(AJ$8:AJ$14,Reference!$C$61:$C$67)</f>
        <v>0</v>
      </c>
      <c r="AK19" s="52" t="n">
        <f aca="false">SUMPRODUCT(AK$8:AK$14,Reference!$C$61:$C$67)</f>
        <v>0</v>
      </c>
      <c r="AL19" s="52" t="n">
        <f aca="false">SUMPRODUCT(AL$8:AL$14,Reference!$C$61:$C$67)</f>
        <v>0</v>
      </c>
      <c r="AM19" s="52" t="n">
        <f aca="false">SUMPRODUCT(AM$8:AM$14,Reference!$C$61:$C$67)</f>
        <v>0</v>
      </c>
      <c r="AN19" s="52" t="n">
        <f aca="false">SUMPRODUCT(AN$8:AN$14,Reference!$C$61:$C$67)</f>
        <v>0</v>
      </c>
      <c r="AO19" s="52" t="n">
        <f aca="false">SUMPRODUCT(AO$8:AO$14,Reference!$C$61:$C$67)</f>
        <v>0</v>
      </c>
      <c r="AP19" s="52" t="n">
        <f aca="false">SUMPRODUCT(AP$8:AP$14,Reference!$C$61:$C$67)</f>
        <v>0</v>
      </c>
      <c r="AQ19" s="52" t="n">
        <f aca="false">SUMPRODUCT(AQ$8:AQ$14,Reference!$C$61:$C$67)</f>
        <v>0</v>
      </c>
      <c r="AR19" s="52" t="n">
        <f aca="false">SUMPRODUCT(AR$8:AR$14,Reference!$C$61:$C$67)</f>
        <v>0</v>
      </c>
      <c r="AS19" s="52" t="n">
        <f aca="false">SUMPRODUCT(AS$8:AS$14,Reference!$C$61:$C$67)</f>
        <v>0</v>
      </c>
      <c r="AT19" s="52" t="n">
        <f aca="false">SUMPRODUCT(AT$8:AT$14,Reference!$C$61:$C$67)</f>
        <v>0</v>
      </c>
      <c r="AU19" s="52" t="n">
        <f aca="false">SUMPRODUCT(AU$8:AU$14,Reference!$C$61:$C$67)</f>
        <v>0</v>
      </c>
      <c r="AV19" s="52" t="n">
        <f aca="false">SUMPRODUCT(AV$8:AV$14,Reference!$C$61:$C$67)</f>
        <v>0</v>
      </c>
      <c r="AW19" s="52" t="n">
        <f aca="false">SUMPRODUCT(AW$8:AW$14,Reference!$C$61:$C$67)</f>
        <v>0</v>
      </c>
      <c r="AX19" s="52" t="n">
        <f aca="false">SUMPRODUCT(AX$8:AX$14,Reference!$C$61:$C$67)</f>
        <v>0</v>
      </c>
      <c r="AY19" s="52" t="n">
        <f aca="false">SUMPRODUCT(AY$8:AY$14,Reference!$C$61:$C$67)</f>
        <v>0</v>
      </c>
      <c r="AZ19" s="52" t="n">
        <f aca="false">SUMPRODUCT(AZ$8:AZ$14,Reference!$C$61:$C$67)</f>
        <v>0</v>
      </c>
      <c r="BA19" s="52" t="n">
        <f aca="false">SUMPRODUCT(BA$8:BA$14,Reference!$C$61:$C$67)</f>
        <v>0</v>
      </c>
      <c r="BB19" s="52" t="n">
        <f aca="false">SUMPRODUCT(BB$8:BB$14,Reference!$C$61:$C$67)</f>
        <v>0</v>
      </c>
      <c r="BC19" s="49" t="n">
        <f aca="false">SUM(C19:BB19)</f>
        <v>23.8</v>
      </c>
      <c r="BD19" s="29" t="n">
        <f aca="false">BC19*HrsWk</f>
        <v>952</v>
      </c>
      <c r="BE19" s="30" t="n">
        <f aca="false">BD19*B19</f>
        <v>66640</v>
      </c>
    </row>
    <row r="20" customFormat="false" ht="15" hidden="false" customHeight="false" outlineLevel="0" collapsed="false">
      <c r="A20" s="24" t="s">
        <v>176</v>
      </c>
      <c r="B20" s="51" t="n">
        <f aca="false">IFERROR(INDEX(RateVals,MATCH("Sr. Engineer II | G10 | India",RateKeys,0)),0)</f>
        <v>62</v>
      </c>
      <c r="C20" s="52" t="n">
        <f aca="false">SUMPRODUCT(C$8:C$14,Reference!$D$61:$D$67)</f>
        <v>0</v>
      </c>
      <c r="D20" s="52" t="n">
        <f aca="false">SUMPRODUCT(D$8:D$14,Reference!$D$61:$D$67)</f>
        <v>0</v>
      </c>
      <c r="E20" s="52" t="n">
        <f aca="false">SUMPRODUCT(E$8:E$14,Reference!$D$61:$D$67)</f>
        <v>0</v>
      </c>
      <c r="F20" s="52" t="n">
        <f aca="false">SUMPRODUCT(F$8:F$14,Reference!$D$61:$D$67)</f>
        <v>0</v>
      </c>
      <c r="G20" s="52" t="n">
        <f aca="false">SUMPRODUCT(G$8:G$14,Reference!$D$61:$D$67)</f>
        <v>0</v>
      </c>
      <c r="H20" s="52" t="n">
        <f aca="false">SUMPRODUCT(H$8:H$14,Reference!$D$61:$D$67)</f>
        <v>2.1</v>
      </c>
      <c r="I20" s="52" t="n">
        <f aca="false">SUMPRODUCT(I$8:I$14,Reference!$D$61:$D$67)</f>
        <v>2.1</v>
      </c>
      <c r="J20" s="52" t="n">
        <f aca="false">SUMPRODUCT(J$8:J$14,Reference!$D$61:$D$67)</f>
        <v>2.1</v>
      </c>
      <c r="K20" s="52" t="n">
        <f aca="false">SUMPRODUCT(K$8:K$14,Reference!$D$61:$D$67)</f>
        <v>2.1</v>
      </c>
      <c r="L20" s="52" t="n">
        <f aca="false">SUMPRODUCT(L$8:L$14,Reference!$D$61:$D$67)</f>
        <v>2.95</v>
      </c>
      <c r="M20" s="52" t="n">
        <f aca="false">SUMPRODUCT(M$8:M$14,Reference!$D$61:$D$67)</f>
        <v>2.95</v>
      </c>
      <c r="N20" s="52" t="n">
        <f aca="false">SUMPRODUCT(N$8:N$14,Reference!$D$61:$D$67)</f>
        <v>2.95</v>
      </c>
      <c r="O20" s="52" t="n">
        <f aca="false">SUMPRODUCT(O$8:O$14,Reference!$D$61:$D$67)</f>
        <v>2.95</v>
      </c>
      <c r="P20" s="52" t="n">
        <f aca="false">SUMPRODUCT(P$8:P$14,Reference!$D$61:$D$67)</f>
        <v>2.95</v>
      </c>
      <c r="Q20" s="52" t="n">
        <f aca="false">SUMPRODUCT(Q$8:Q$14,Reference!$D$61:$D$67)</f>
        <v>2.95</v>
      </c>
      <c r="R20" s="52" t="n">
        <f aca="false">SUMPRODUCT(R$8:R$14,Reference!$D$61:$D$67)</f>
        <v>2.95</v>
      </c>
      <c r="S20" s="52" t="n">
        <f aca="false">SUMPRODUCT(S$8:S$14,Reference!$D$61:$D$67)</f>
        <v>2.95</v>
      </c>
      <c r="T20" s="52" t="n">
        <f aca="false">SUMPRODUCT(T$8:T$14,Reference!$D$61:$D$67)</f>
        <v>2.95</v>
      </c>
      <c r="U20" s="52" t="n">
        <f aca="false">SUMPRODUCT(U$8:U$14,Reference!$D$61:$D$67)</f>
        <v>2.95</v>
      </c>
      <c r="V20" s="52" t="n">
        <f aca="false">SUMPRODUCT(V$8:V$14,Reference!$D$61:$D$67)</f>
        <v>2.95</v>
      </c>
      <c r="W20" s="52" t="n">
        <f aca="false">SUMPRODUCT(W$8:W$14,Reference!$D$61:$D$67)</f>
        <v>2.95</v>
      </c>
      <c r="X20" s="52" t="n">
        <f aca="false">SUMPRODUCT(X$8:X$14,Reference!$D$61:$D$67)</f>
        <v>0.85</v>
      </c>
      <c r="Y20" s="52" t="n">
        <f aca="false">SUMPRODUCT(Y$8:Y$14,Reference!$D$61:$D$67)</f>
        <v>0.85</v>
      </c>
      <c r="Z20" s="52" t="n">
        <f aca="false">SUMPRODUCT(Z$8:Z$14,Reference!$D$61:$D$67)</f>
        <v>0.85</v>
      </c>
      <c r="AA20" s="52" t="n">
        <f aca="false">SUMPRODUCT(AA$8:AA$14,Reference!$D$61:$D$67)</f>
        <v>0.85</v>
      </c>
      <c r="AB20" s="52" t="n">
        <f aca="false">SUMPRODUCT(AB$8:AB$14,Reference!$D$61:$D$67)</f>
        <v>1</v>
      </c>
      <c r="AC20" s="52" t="n">
        <f aca="false">SUMPRODUCT(AC$8:AC$14,Reference!$D$61:$D$67)</f>
        <v>1</v>
      </c>
      <c r="AD20" s="52" t="n">
        <f aca="false">SUMPRODUCT(AD$8:AD$14,Reference!$D$61:$D$67)</f>
        <v>0</v>
      </c>
      <c r="AE20" s="52" t="n">
        <f aca="false">SUMPRODUCT(AE$8:AE$14,Reference!$D$61:$D$67)</f>
        <v>0</v>
      </c>
      <c r="AF20" s="52" t="n">
        <f aca="false">SUMPRODUCT(AF$8:AF$14,Reference!$D$61:$D$67)</f>
        <v>0</v>
      </c>
      <c r="AG20" s="52" t="n">
        <f aca="false">SUMPRODUCT(AG$8:AG$14,Reference!$D$61:$D$67)</f>
        <v>0</v>
      </c>
      <c r="AH20" s="52" t="n">
        <f aca="false">SUMPRODUCT(AH$8:AH$14,Reference!$D$61:$D$67)</f>
        <v>0</v>
      </c>
      <c r="AI20" s="52" t="n">
        <f aca="false">SUMPRODUCT(AI$8:AI$14,Reference!$D$61:$D$67)</f>
        <v>0</v>
      </c>
      <c r="AJ20" s="52" t="n">
        <f aca="false">SUMPRODUCT(AJ$8:AJ$14,Reference!$D$61:$D$67)</f>
        <v>0</v>
      </c>
      <c r="AK20" s="52" t="n">
        <f aca="false">SUMPRODUCT(AK$8:AK$14,Reference!$D$61:$D$67)</f>
        <v>0</v>
      </c>
      <c r="AL20" s="52" t="n">
        <f aca="false">SUMPRODUCT(AL$8:AL$14,Reference!$D$61:$D$67)</f>
        <v>0</v>
      </c>
      <c r="AM20" s="52" t="n">
        <f aca="false">SUMPRODUCT(AM$8:AM$14,Reference!$D$61:$D$67)</f>
        <v>0</v>
      </c>
      <c r="AN20" s="52" t="n">
        <f aca="false">SUMPRODUCT(AN$8:AN$14,Reference!$D$61:$D$67)</f>
        <v>0</v>
      </c>
      <c r="AO20" s="52" t="n">
        <f aca="false">SUMPRODUCT(AO$8:AO$14,Reference!$D$61:$D$67)</f>
        <v>0</v>
      </c>
      <c r="AP20" s="52" t="n">
        <f aca="false">SUMPRODUCT(AP$8:AP$14,Reference!$D$61:$D$67)</f>
        <v>0</v>
      </c>
      <c r="AQ20" s="52" t="n">
        <f aca="false">SUMPRODUCT(AQ$8:AQ$14,Reference!$D$61:$D$67)</f>
        <v>0</v>
      </c>
      <c r="AR20" s="52" t="n">
        <f aca="false">SUMPRODUCT(AR$8:AR$14,Reference!$D$61:$D$67)</f>
        <v>0</v>
      </c>
      <c r="AS20" s="52" t="n">
        <f aca="false">SUMPRODUCT(AS$8:AS$14,Reference!$D$61:$D$67)</f>
        <v>0</v>
      </c>
      <c r="AT20" s="52" t="n">
        <f aca="false">SUMPRODUCT(AT$8:AT$14,Reference!$D$61:$D$67)</f>
        <v>0</v>
      </c>
      <c r="AU20" s="52" t="n">
        <f aca="false">SUMPRODUCT(AU$8:AU$14,Reference!$D$61:$D$67)</f>
        <v>0</v>
      </c>
      <c r="AV20" s="52" t="n">
        <f aca="false">SUMPRODUCT(AV$8:AV$14,Reference!$D$61:$D$67)</f>
        <v>0</v>
      </c>
      <c r="AW20" s="52" t="n">
        <f aca="false">SUMPRODUCT(AW$8:AW$14,Reference!$D$61:$D$67)</f>
        <v>0</v>
      </c>
      <c r="AX20" s="52" t="n">
        <f aca="false">SUMPRODUCT(AX$8:AX$14,Reference!$D$61:$D$67)</f>
        <v>0</v>
      </c>
      <c r="AY20" s="52" t="n">
        <f aca="false">SUMPRODUCT(AY$8:AY$14,Reference!$D$61:$D$67)</f>
        <v>0</v>
      </c>
      <c r="AZ20" s="52" t="n">
        <f aca="false">SUMPRODUCT(AZ$8:AZ$14,Reference!$D$61:$D$67)</f>
        <v>0</v>
      </c>
      <c r="BA20" s="52" t="n">
        <f aca="false">SUMPRODUCT(BA$8:BA$14,Reference!$D$61:$D$67)</f>
        <v>0</v>
      </c>
      <c r="BB20" s="52" t="n">
        <f aca="false">SUMPRODUCT(BB$8:BB$14,Reference!$D$61:$D$67)</f>
        <v>0</v>
      </c>
      <c r="BC20" s="49" t="n">
        <f aca="false">SUM(C20:BB20)</f>
        <v>49.2</v>
      </c>
      <c r="BD20" s="29" t="n">
        <f aca="false">BC20*HrsWk</f>
        <v>1968</v>
      </c>
      <c r="BE20" s="30" t="n">
        <f aca="false">BD20*B20</f>
        <v>122016</v>
      </c>
    </row>
    <row r="21" customFormat="false" ht="15" hidden="false" customHeight="false" outlineLevel="0" collapsed="false">
      <c r="A21" s="24" t="s">
        <v>177</v>
      </c>
      <c r="B21" s="51" t="n">
        <f aca="false">IFERROR(INDEX(RateVals,MATCH("Engineer II | G8 | India",RateKeys,0)),0)</f>
        <v>50</v>
      </c>
      <c r="C21" s="52" t="n">
        <f aca="false">SUMPRODUCT(C$8:C$14,Reference!$E$61:$E$67)</f>
        <v>0</v>
      </c>
      <c r="D21" s="52" t="n">
        <f aca="false">SUMPRODUCT(D$8:D$14,Reference!$E$61:$E$67)</f>
        <v>0</v>
      </c>
      <c r="E21" s="52" t="n">
        <f aca="false">SUMPRODUCT(E$8:E$14,Reference!$E$61:$E$67)</f>
        <v>0</v>
      </c>
      <c r="F21" s="52" t="n">
        <f aca="false">SUMPRODUCT(F$8:F$14,Reference!$E$61:$E$67)</f>
        <v>0</v>
      </c>
      <c r="G21" s="52" t="n">
        <f aca="false">SUMPRODUCT(G$8:G$14,Reference!$E$61:$E$67)</f>
        <v>0</v>
      </c>
      <c r="H21" s="52" t="n">
        <f aca="false">SUMPRODUCT(H$8:H$14,Reference!$E$61:$E$67)</f>
        <v>2.4</v>
      </c>
      <c r="I21" s="52" t="n">
        <f aca="false">SUMPRODUCT(I$8:I$14,Reference!$E$61:$E$67)</f>
        <v>2.4</v>
      </c>
      <c r="J21" s="52" t="n">
        <f aca="false">SUMPRODUCT(J$8:J$14,Reference!$E$61:$E$67)</f>
        <v>2.4</v>
      </c>
      <c r="K21" s="52" t="n">
        <f aca="false">SUMPRODUCT(K$8:K$14,Reference!$E$61:$E$67)</f>
        <v>2.4</v>
      </c>
      <c r="L21" s="52" t="n">
        <f aca="false">SUMPRODUCT(L$8:L$14,Reference!$E$61:$E$67)</f>
        <v>2.4</v>
      </c>
      <c r="M21" s="52" t="n">
        <f aca="false">SUMPRODUCT(M$8:M$14,Reference!$E$61:$E$67)</f>
        <v>2.4</v>
      </c>
      <c r="N21" s="52" t="n">
        <f aca="false">SUMPRODUCT(N$8:N$14,Reference!$E$61:$E$67)</f>
        <v>2.4</v>
      </c>
      <c r="O21" s="52" t="n">
        <f aca="false">SUMPRODUCT(O$8:O$14,Reference!$E$61:$E$67)</f>
        <v>2.4</v>
      </c>
      <c r="P21" s="52" t="n">
        <f aca="false">SUMPRODUCT(P$8:P$14,Reference!$E$61:$E$67)</f>
        <v>2.4</v>
      </c>
      <c r="Q21" s="52" t="n">
        <f aca="false">SUMPRODUCT(Q$8:Q$14,Reference!$E$61:$E$67)</f>
        <v>2.4</v>
      </c>
      <c r="R21" s="52" t="n">
        <f aca="false">SUMPRODUCT(R$8:R$14,Reference!$E$61:$E$67)</f>
        <v>2.4</v>
      </c>
      <c r="S21" s="52" t="n">
        <f aca="false">SUMPRODUCT(S$8:S$14,Reference!$E$61:$E$67)</f>
        <v>2.4</v>
      </c>
      <c r="T21" s="52" t="n">
        <f aca="false">SUMPRODUCT(T$8:T$14,Reference!$E$61:$E$67)</f>
        <v>2.4</v>
      </c>
      <c r="U21" s="52" t="n">
        <f aca="false">SUMPRODUCT(U$8:U$14,Reference!$E$61:$E$67)</f>
        <v>2.4</v>
      </c>
      <c r="V21" s="52" t="n">
        <f aca="false">SUMPRODUCT(V$8:V$14,Reference!$E$61:$E$67)</f>
        <v>2.4</v>
      </c>
      <c r="W21" s="52" t="n">
        <f aca="false">SUMPRODUCT(W$8:W$14,Reference!$E$61:$E$67)</f>
        <v>2.4</v>
      </c>
      <c r="X21" s="52" t="n">
        <f aca="false">SUMPRODUCT(X$8:X$14,Reference!$E$61:$E$67)</f>
        <v>0</v>
      </c>
      <c r="Y21" s="52" t="n">
        <f aca="false">SUMPRODUCT(Y$8:Y$14,Reference!$E$61:$E$67)</f>
        <v>0</v>
      </c>
      <c r="Z21" s="52" t="n">
        <f aca="false">SUMPRODUCT(Z$8:Z$14,Reference!$E$61:$E$67)</f>
        <v>0</v>
      </c>
      <c r="AA21" s="52" t="n">
        <f aca="false">SUMPRODUCT(AA$8:AA$14,Reference!$E$61:$E$67)</f>
        <v>0</v>
      </c>
      <c r="AB21" s="52" t="n">
        <f aca="false">SUMPRODUCT(AB$8:AB$14,Reference!$E$61:$E$67)</f>
        <v>0</v>
      </c>
      <c r="AC21" s="52" t="n">
        <f aca="false">SUMPRODUCT(AC$8:AC$14,Reference!$E$61:$E$67)</f>
        <v>0</v>
      </c>
      <c r="AD21" s="52" t="n">
        <f aca="false">SUMPRODUCT(AD$8:AD$14,Reference!$E$61:$E$67)</f>
        <v>0</v>
      </c>
      <c r="AE21" s="52" t="n">
        <f aca="false">SUMPRODUCT(AE$8:AE$14,Reference!$E$61:$E$67)</f>
        <v>0</v>
      </c>
      <c r="AF21" s="52" t="n">
        <f aca="false">SUMPRODUCT(AF$8:AF$14,Reference!$E$61:$E$67)</f>
        <v>0</v>
      </c>
      <c r="AG21" s="52" t="n">
        <f aca="false">SUMPRODUCT(AG$8:AG$14,Reference!$E$61:$E$67)</f>
        <v>0</v>
      </c>
      <c r="AH21" s="52" t="n">
        <f aca="false">SUMPRODUCT(AH$8:AH$14,Reference!$E$61:$E$67)</f>
        <v>0</v>
      </c>
      <c r="AI21" s="52" t="n">
        <f aca="false">SUMPRODUCT(AI$8:AI$14,Reference!$E$61:$E$67)</f>
        <v>0</v>
      </c>
      <c r="AJ21" s="52" t="n">
        <f aca="false">SUMPRODUCT(AJ$8:AJ$14,Reference!$E$61:$E$67)</f>
        <v>0</v>
      </c>
      <c r="AK21" s="52" t="n">
        <f aca="false">SUMPRODUCT(AK$8:AK$14,Reference!$E$61:$E$67)</f>
        <v>0</v>
      </c>
      <c r="AL21" s="52" t="n">
        <f aca="false">SUMPRODUCT(AL$8:AL$14,Reference!$E$61:$E$67)</f>
        <v>0</v>
      </c>
      <c r="AM21" s="52" t="n">
        <f aca="false">SUMPRODUCT(AM$8:AM$14,Reference!$E$61:$E$67)</f>
        <v>0</v>
      </c>
      <c r="AN21" s="52" t="n">
        <f aca="false">SUMPRODUCT(AN$8:AN$14,Reference!$E$61:$E$67)</f>
        <v>0</v>
      </c>
      <c r="AO21" s="52" t="n">
        <f aca="false">SUMPRODUCT(AO$8:AO$14,Reference!$E$61:$E$67)</f>
        <v>0</v>
      </c>
      <c r="AP21" s="52" t="n">
        <f aca="false">SUMPRODUCT(AP$8:AP$14,Reference!$E$61:$E$67)</f>
        <v>0</v>
      </c>
      <c r="AQ21" s="52" t="n">
        <f aca="false">SUMPRODUCT(AQ$8:AQ$14,Reference!$E$61:$E$67)</f>
        <v>0</v>
      </c>
      <c r="AR21" s="52" t="n">
        <f aca="false">SUMPRODUCT(AR$8:AR$14,Reference!$E$61:$E$67)</f>
        <v>0</v>
      </c>
      <c r="AS21" s="52" t="n">
        <f aca="false">SUMPRODUCT(AS$8:AS$14,Reference!$E$61:$E$67)</f>
        <v>0</v>
      </c>
      <c r="AT21" s="52" t="n">
        <f aca="false">SUMPRODUCT(AT$8:AT$14,Reference!$E$61:$E$67)</f>
        <v>0</v>
      </c>
      <c r="AU21" s="52" t="n">
        <f aca="false">SUMPRODUCT(AU$8:AU$14,Reference!$E$61:$E$67)</f>
        <v>0</v>
      </c>
      <c r="AV21" s="52" t="n">
        <f aca="false">SUMPRODUCT(AV$8:AV$14,Reference!$E$61:$E$67)</f>
        <v>0</v>
      </c>
      <c r="AW21" s="52" t="n">
        <f aca="false">SUMPRODUCT(AW$8:AW$14,Reference!$E$61:$E$67)</f>
        <v>0</v>
      </c>
      <c r="AX21" s="52" t="n">
        <f aca="false">SUMPRODUCT(AX$8:AX$14,Reference!$E$61:$E$67)</f>
        <v>0</v>
      </c>
      <c r="AY21" s="52" t="n">
        <f aca="false">SUMPRODUCT(AY$8:AY$14,Reference!$E$61:$E$67)</f>
        <v>0</v>
      </c>
      <c r="AZ21" s="52" t="n">
        <f aca="false">SUMPRODUCT(AZ$8:AZ$14,Reference!$E$61:$E$67)</f>
        <v>0</v>
      </c>
      <c r="BA21" s="52" t="n">
        <f aca="false">SUMPRODUCT(BA$8:BA$14,Reference!$E$61:$E$67)</f>
        <v>0</v>
      </c>
      <c r="BB21" s="52" t="n">
        <f aca="false">SUMPRODUCT(BB$8:BB$14,Reference!$E$61:$E$67)</f>
        <v>0</v>
      </c>
      <c r="BC21" s="49" t="n">
        <f aca="false">SUM(C21:BB21)</f>
        <v>38.4</v>
      </c>
      <c r="BD21" s="29" t="n">
        <f aca="false">BC21*HrsWk</f>
        <v>1536</v>
      </c>
      <c r="BE21" s="30" t="n">
        <f aca="false">BD21*B21</f>
        <v>76800</v>
      </c>
    </row>
    <row r="22" customFormat="false" ht="15" hidden="false" customHeight="false" outlineLevel="0" collapsed="false">
      <c r="A22" s="24" t="s">
        <v>178</v>
      </c>
      <c r="B22" s="51" t="n">
        <f aca="false">IFERROR(INDEX(RateVals,MATCH("Sr. Engineer I | G9 | India",RateKeys,0)),0)</f>
        <v>57.5</v>
      </c>
      <c r="C22" s="52" t="n">
        <f aca="false">SUMPRODUCT(C$8:C$14,Reference!$F$61:$F$67)</f>
        <v>0</v>
      </c>
      <c r="D22" s="52" t="n">
        <f aca="false">SUMPRODUCT(D$8:D$14,Reference!$F$61:$F$67)</f>
        <v>0</v>
      </c>
      <c r="E22" s="52" t="n">
        <f aca="false">SUMPRODUCT(E$8:E$14,Reference!$F$61:$F$67)</f>
        <v>0</v>
      </c>
      <c r="F22" s="52" t="n">
        <f aca="false">SUMPRODUCT(F$8:F$14,Reference!$F$61:$F$67)</f>
        <v>0</v>
      </c>
      <c r="G22" s="52" t="n">
        <f aca="false">SUMPRODUCT(G$8:G$14,Reference!$F$61:$F$67)</f>
        <v>0</v>
      </c>
      <c r="H22" s="52" t="n">
        <f aca="false">SUMPRODUCT(H$8:H$14,Reference!$F$61:$F$67)</f>
        <v>0</v>
      </c>
      <c r="I22" s="52" t="n">
        <f aca="false">SUMPRODUCT(I$8:I$14,Reference!$F$61:$F$67)</f>
        <v>0</v>
      </c>
      <c r="J22" s="52" t="n">
        <f aca="false">SUMPRODUCT(J$8:J$14,Reference!$F$61:$F$67)</f>
        <v>1</v>
      </c>
      <c r="K22" s="52" t="n">
        <f aca="false">SUMPRODUCT(K$8:K$14,Reference!$F$61:$F$67)</f>
        <v>1</v>
      </c>
      <c r="L22" s="52" t="n">
        <f aca="false">SUMPRODUCT(L$8:L$14,Reference!$F$61:$F$67)</f>
        <v>1</v>
      </c>
      <c r="M22" s="52" t="n">
        <f aca="false">SUMPRODUCT(M$8:M$14,Reference!$F$61:$F$67)</f>
        <v>1</v>
      </c>
      <c r="N22" s="52" t="n">
        <f aca="false">SUMPRODUCT(N$8:N$14,Reference!$F$61:$F$67)</f>
        <v>1</v>
      </c>
      <c r="O22" s="52" t="n">
        <f aca="false">SUMPRODUCT(O$8:O$14,Reference!$F$61:$F$67)</f>
        <v>1</v>
      </c>
      <c r="P22" s="52" t="n">
        <f aca="false">SUMPRODUCT(P$8:P$14,Reference!$F$61:$F$67)</f>
        <v>1</v>
      </c>
      <c r="Q22" s="52" t="n">
        <f aca="false">SUMPRODUCT(Q$8:Q$14,Reference!$F$61:$F$67)</f>
        <v>1</v>
      </c>
      <c r="R22" s="52" t="n">
        <f aca="false">SUMPRODUCT(R$8:R$14,Reference!$F$61:$F$67)</f>
        <v>1</v>
      </c>
      <c r="S22" s="52" t="n">
        <f aca="false">SUMPRODUCT(S$8:S$14,Reference!$F$61:$F$67)</f>
        <v>1</v>
      </c>
      <c r="T22" s="52" t="n">
        <f aca="false">SUMPRODUCT(T$8:T$14,Reference!$F$61:$F$67)</f>
        <v>1</v>
      </c>
      <c r="U22" s="52" t="n">
        <f aca="false">SUMPRODUCT(U$8:U$14,Reference!$F$61:$F$67)</f>
        <v>1</v>
      </c>
      <c r="V22" s="52" t="n">
        <f aca="false">SUMPRODUCT(V$8:V$14,Reference!$F$61:$F$67)</f>
        <v>1</v>
      </c>
      <c r="W22" s="52" t="n">
        <f aca="false">SUMPRODUCT(W$8:W$14,Reference!$F$61:$F$67)</f>
        <v>1</v>
      </c>
      <c r="X22" s="52" t="n">
        <f aca="false">SUMPRODUCT(X$8:X$14,Reference!$F$61:$F$67)</f>
        <v>1</v>
      </c>
      <c r="Y22" s="52" t="n">
        <f aca="false">SUMPRODUCT(Y$8:Y$14,Reference!$F$61:$F$67)</f>
        <v>1</v>
      </c>
      <c r="Z22" s="52" t="n">
        <f aca="false">SUMPRODUCT(Z$8:Z$14,Reference!$F$61:$F$67)</f>
        <v>0</v>
      </c>
      <c r="AA22" s="52" t="n">
        <f aca="false">SUMPRODUCT(AA$8:AA$14,Reference!$F$61:$F$67)</f>
        <v>0</v>
      </c>
      <c r="AB22" s="52" t="n">
        <f aca="false">SUMPRODUCT(AB$8:AB$14,Reference!$F$61:$F$67)</f>
        <v>0</v>
      </c>
      <c r="AC22" s="52" t="n">
        <f aca="false">SUMPRODUCT(AC$8:AC$14,Reference!$F$61:$F$67)</f>
        <v>0</v>
      </c>
      <c r="AD22" s="52" t="n">
        <f aca="false">SUMPRODUCT(AD$8:AD$14,Reference!$F$61:$F$67)</f>
        <v>0</v>
      </c>
      <c r="AE22" s="52" t="n">
        <f aca="false">SUMPRODUCT(AE$8:AE$14,Reference!$F$61:$F$67)</f>
        <v>0</v>
      </c>
      <c r="AF22" s="52" t="n">
        <f aca="false">SUMPRODUCT(AF$8:AF$14,Reference!$F$61:$F$67)</f>
        <v>0</v>
      </c>
      <c r="AG22" s="52" t="n">
        <f aca="false">SUMPRODUCT(AG$8:AG$14,Reference!$F$61:$F$67)</f>
        <v>0</v>
      </c>
      <c r="AH22" s="52" t="n">
        <f aca="false">SUMPRODUCT(AH$8:AH$14,Reference!$F$61:$F$67)</f>
        <v>0</v>
      </c>
      <c r="AI22" s="52" t="n">
        <f aca="false">SUMPRODUCT(AI$8:AI$14,Reference!$F$61:$F$67)</f>
        <v>0</v>
      </c>
      <c r="AJ22" s="52" t="n">
        <f aca="false">SUMPRODUCT(AJ$8:AJ$14,Reference!$F$61:$F$67)</f>
        <v>0</v>
      </c>
      <c r="AK22" s="52" t="n">
        <f aca="false">SUMPRODUCT(AK$8:AK$14,Reference!$F$61:$F$67)</f>
        <v>0</v>
      </c>
      <c r="AL22" s="52" t="n">
        <f aca="false">SUMPRODUCT(AL$8:AL$14,Reference!$F$61:$F$67)</f>
        <v>0</v>
      </c>
      <c r="AM22" s="52" t="n">
        <f aca="false">SUMPRODUCT(AM$8:AM$14,Reference!$F$61:$F$67)</f>
        <v>0</v>
      </c>
      <c r="AN22" s="52" t="n">
        <f aca="false">SUMPRODUCT(AN$8:AN$14,Reference!$F$61:$F$67)</f>
        <v>0</v>
      </c>
      <c r="AO22" s="52" t="n">
        <f aca="false">SUMPRODUCT(AO$8:AO$14,Reference!$F$61:$F$67)</f>
        <v>0</v>
      </c>
      <c r="AP22" s="52" t="n">
        <f aca="false">SUMPRODUCT(AP$8:AP$14,Reference!$F$61:$F$67)</f>
        <v>0</v>
      </c>
      <c r="AQ22" s="52" t="n">
        <f aca="false">SUMPRODUCT(AQ$8:AQ$14,Reference!$F$61:$F$67)</f>
        <v>0</v>
      </c>
      <c r="AR22" s="52" t="n">
        <f aca="false">SUMPRODUCT(AR$8:AR$14,Reference!$F$61:$F$67)</f>
        <v>0</v>
      </c>
      <c r="AS22" s="52" t="n">
        <f aca="false">SUMPRODUCT(AS$8:AS$14,Reference!$F$61:$F$67)</f>
        <v>0</v>
      </c>
      <c r="AT22" s="52" t="n">
        <f aca="false">SUMPRODUCT(AT$8:AT$14,Reference!$F$61:$F$67)</f>
        <v>0</v>
      </c>
      <c r="AU22" s="52" t="n">
        <f aca="false">SUMPRODUCT(AU$8:AU$14,Reference!$F$61:$F$67)</f>
        <v>0</v>
      </c>
      <c r="AV22" s="52" t="n">
        <f aca="false">SUMPRODUCT(AV$8:AV$14,Reference!$F$61:$F$67)</f>
        <v>0</v>
      </c>
      <c r="AW22" s="52" t="n">
        <f aca="false">SUMPRODUCT(AW$8:AW$14,Reference!$F$61:$F$67)</f>
        <v>0</v>
      </c>
      <c r="AX22" s="52" t="n">
        <f aca="false">SUMPRODUCT(AX$8:AX$14,Reference!$F$61:$F$67)</f>
        <v>0</v>
      </c>
      <c r="AY22" s="52" t="n">
        <f aca="false">SUMPRODUCT(AY$8:AY$14,Reference!$F$61:$F$67)</f>
        <v>0</v>
      </c>
      <c r="AZ22" s="52" t="n">
        <f aca="false">SUMPRODUCT(AZ$8:AZ$14,Reference!$F$61:$F$67)</f>
        <v>0</v>
      </c>
      <c r="BA22" s="52" t="n">
        <f aca="false">SUMPRODUCT(BA$8:BA$14,Reference!$F$61:$F$67)</f>
        <v>0</v>
      </c>
      <c r="BB22" s="52" t="n">
        <f aca="false">SUMPRODUCT(BB$8:BB$14,Reference!$F$61:$F$67)</f>
        <v>0</v>
      </c>
      <c r="BC22" s="49" t="n">
        <f aca="false">SUM(C22:BB22)</f>
        <v>16</v>
      </c>
      <c r="BD22" s="29" t="n">
        <f aca="false">BC22*HrsWk</f>
        <v>640</v>
      </c>
      <c r="BE22" s="30" t="n">
        <f aca="false">BD22*B22</f>
        <v>36800</v>
      </c>
    </row>
    <row r="23" customFormat="false" ht="15" hidden="false" customHeight="false" outlineLevel="0" collapsed="false">
      <c r="A23" s="24" t="s">
        <v>179</v>
      </c>
      <c r="B23" s="51" t="n">
        <f aca="false">IFERROR(INDEX(RateVals,MATCH("MSE I | G12 | India",RateKeys,0)),0)</f>
        <v>82</v>
      </c>
      <c r="C23" s="52" t="n">
        <f aca="false">SUMPRODUCT(C$8:C$14,Reference!$G$61:$G$67)</f>
        <v>1</v>
      </c>
      <c r="D23" s="52" t="n">
        <f aca="false">SUMPRODUCT(D$8:D$14,Reference!$G$61:$G$67)</f>
        <v>1</v>
      </c>
      <c r="E23" s="52" t="n">
        <f aca="false">SUMPRODUCT(E$8:E$14,Reference!$G$61:$G$67)</f>
        <v>1</v>
      </c>
      <c r="F23" s="52" t="n">
        <f aca="false">SUMPRODUCT(F$8:F$14,Reference!$G$61:$G$67)</f>
        <v>1</v>
      </c>
      <c r="G23" s="52" t="n">
        <f aca="false">SUMPRODUCT(G$8:G$14,Reference!$G$61:$G$67)</f>
        <v>1</v>
      </c>
      <c r="H23" s="52" t="n">
        <f aca="false">SUMPRODUCT(H$8:H$14,Reference!$G$61:$G$67)</f>
        <v>1</v>
      </c>
      <c r="I23" s="52" t="n">
        <f aca="false">SUMPRODUCT(I$8:I$14,Reference!$G$61:$G$67)</f>
        <v>1</v>
      </c>
      <c r="J23" s="52" t="n">
        <f aca="false">SUMPRODUCT(J$8:J$14,Reference!$G$61:$G$67)</f>
        <v>1</v>
      </c>
      <c r="K23" s="52" t="n">
        <f aca="false">SUMPRODUCT(K$8:K$14,Reference!$G$61:$G$67)</f>
        <v>1</v>
      </c>
      <c r="L23" s="52" t="n">
        <f aca="false">SUMPRODUCT(L$8:L$14,Reference!$G$61:$G$67)</f>
        <v>1</v>
      </c>
      <c r="M23" s="52" t="n">
        <f aca="false">SUMPRODUCT(M$8:M$14,Reference!$G$61:$G$67)</f>
        <v>1</v>
      </c>
      <c r="N23" s="52" t="n">
        <f aca="false">SUMPRODUCT(N$8:N$14,Reference!$G$61:$G$67)</f>
        <v>1</v>
      </c>
      <c r="O23" s="52" t="n">
        <f aca="false">SUMPRODUCT(O$8:O$14,Reference!$G$61:$G$67)</f>
        <v>1</v>
      </c>
      <c r="P23" s="52" t="n">
        <f aca="false">SUMPRODUCT(P$8:P$14,Reference!$G$61:$G$67)</f>
        <v>1</v>
      </c>
      <c r="Q23" s="52" t="n">
        <f aca="false">SUMPRODUCT(Q$8:Q$14,Reference!$G$61:$G$67)</f>
        <v>1</v>
      </c>
      <c r="R23" s="52" t="n">
        <f aca="false">SUMPRODUCT(R$8:R$14,Reference!$G$61:$G$67)</f>
        <v>1</v>
      </c>
      <c r="S23" s="52" t="n">
        <f aca="false">SUMPRODUCT(S$8:S$14,Reference!$G$61:$G$67)</f>
        <v>1</v>
      </c>
      <c r="T23" s="52" t="n">
        <f aca="false">SUMPRODUCT(T$8:T$14,Reference!$G$61:$G$67)</f>
        <v>1</v>
      </c>
      <c r="U23" s="52" t="n">
        <f aca="false">SUMPRODUCT(U$8:U$14,Reference!$G$61:$G$67)</f>
        <v>1</v>
      </c>
      <c r="V23" s="52" t="n">
        <f aca="false">SUMPRODUCT(V$8:V$14,Reference!$G$61:$G$67)</f>
        <v>1</v>
      </c>
      <c r="W23" s="52" t="n">
        <f aca="false">SUMPRODUCT(W$8:W$14,Reference!$G$61:$G$67)</f>
        <v>1</v>
      </c>
      <c r="X23" s="52" t="n">
        <f aca="false">SUMPRODUCT(X$8:X$14,Reference!$G$61:$G$67)</f>
        <v>1</v>
      </c>
      <c r="Y23" s="52" t="n">
        <f aca="false">SUMPRODUCT(Y$8:Y$14,Reference!$G$61:$G$67)</f>
        <v>1</v>
      </c>
      <c r="Z23" s="52" t="n">
        <f aca="false">SUMPRODUCT(Z$8:Z$14,Reference!$G$61:$G$67)</f>
        <v>1</v>
      </c>
      <c r="AA23" s="52" t="n">
        <f aca="false">SUMPRODUCT(AA$8:AA$14,Reference!$G$61:$G$67)</f>
        <v>1</v>
      </c>
      <c r="AB23" s="52" t="n">
        <f aca="false">SUMPRODUCT(AB$8:AB$14,Reference!$G$61:$G$67)</f>
        <v>1</v>
      </c>
      <c r="AC23" s="52" t="n">
        <f aca="false">SUMPRODUCT(AC$8:AC$14,Reference!$G$61:$G$67)</f>
        <v>1</v>
      </c>
      <c r="AD23" s="52" t="n">
        <f aca="false">SUMPRODUCT(AD$8:AD$14,Reference!$G$61:$G$67)</f>
        <v>0</v>
      </c>
      <c r="AE23" s="52" t="n">
        <f aca="false">SUMPRODUCT(AE$8:AE$14,Reference!$G$61:$G$67)</f>
        <v>0</v>
      </c>
      <c r="AF23" s="52" t="n">
        <f aca="false">SUMPRODUCT(AF$8:AF$14,Reference!$G$61:$G$67)</f>
        <v>0</v>
      </c>
      <c r="AG23" s="52" t="n">
        <f aca="false">SUMPRODUCT(AG$8:AG$14,Reference!$G$61:$G$67)</f>
        <v>0</v>
      </c>
      <c r="AH23" s="52" t="n">
        <f aca="false">SUMPRODUCT(AH$8:AH$14,Reference!$G$61:$G$67)</f>
        <v>0</v>
      </c>
      <c r="AI23" s="52" t="n">
        <f aca="false">SUMPRODUCT(AI$8:AI$14,Reference!$G$61:$G$67)</f>
        <v>0</v>
      </c>
      <c r="AJ23" s="52" t="n">
        <f aca="false">SUMPRODUCT(AJ$8:AJ$14,Reference!$G$61:$G$67)</f>
        <v>0</v>
      </c>
      <c r="AK23" s="52" t="n">
        <f aca="false">SUMPRODUCT(AK$8:AK$14,Reference!$G$61:$G$67)</f>
        <v>0</v>
      </c>
      <c r="AL23" s="52" t="n">
        <f aca="false">SUMPRODUCT(AL$8:AL$14,Reference!$G$61:$G$67)</f>
        <v>0</v>
      </c>
      <c r="AM23" s="52" t="n">
        <f aca="false">SUMPRODUCT(AM$8:AM$14,Reference!$G$61:$G$67)</f>
        <v>0</v>
      </c>
      <c r="AN23" s="52" t="n">
        <f aca="false">SUMPRODUCT(AN$8:AN$14,Reference!$G$61:$G$67)</f>
        <v>0</v>
      </c>
      <c r="AO23" s="52" t="n">
        <f aca="false">SUMPRODUCT(AO$8:AO$14,Reference!$G$61:$G$67)</f>
        <v>0</v>
      </c>
      <c r="AP23" s="52" t="n">
        <f aca="false">SUMPRODUCT(AP$8:AP$14,Reference!$G$61:$G$67)</f>
        <v>0</v>
      </c>
      <c r="AQ23" s="52" t="n">
        <f aca="false">SUMPRODUCT(AQ$8:AQ$14,Reference!$G$61:$G$67)</f>
        <v>0</v>
      </c>
      <c r="AR23" s="52" t="n">
        <f aca="false">SUMPRODUCT(AR$8:AR$14,Reference!$G$61:$G$67)</f>
        <v>0</v>
      </c>
      <c r="AS23" s="52" t="n">
        <f aca="false">SUMPRODUCT(AS$8:AS$14,Reference!$G$61:$G$67)</f>
        <v>0</v>
      </c>
      <c r="AT23" s="52" t="n">
        <f aca="false">SUMPRODUCT(AT$8:AT$14,Reference!$G$61:$G$67)</f>
        <v>0</v>
      </c>
      <c r="AU23" s="52" t="n">
        <f aca="false">SUMPRODUCT(AU$8:AU$14,Reference!$G$61:$G$67)</f>
        <v>0</v>
      </c>
      <c r="AV23" s="52" t="n">
        <f aca="false">SUMPRODUCT(AV$8:AV$14,Reference!$G$61:$G$67)</f>
        <v>0</v>
      </c>
      <c r="AW23" s="52" t="n">
        <f aca="false">SUMPRODUCT(AW$8:AW$14,Reference!$G$61:$G$67)</f>
        <v>0</v>
      </c>
      <c r="AX23" s="52" t="n">
        <f aca="false">SUMPRODUCT(AX$8:AX$14,Reference!$G$61:$G$67)</f>
        <v>0</v>
      </c>
      <c r="AY23" s="52" t="n">
        <f aca="false">SUMPRODUCT(AY$8:AY$14,Reference!$G$61:$G$67)</f>
        <v>0</v>
      </c>
      <c r="AZ23" s="52" t="n">
        <f aca="false">SUMPRODUCT(AZ$8:AZ$14,Reference!$G$61:$G$67)</f>
        <v>0</v>
      </c>
      <c r="BA23" s="52" t="n">
        <f aca="false">SUMPRODUCT(BA$8:BA$14,Reference!$G$61:$G$67)</f>
        <v>0</v>
      </c>
      <c r="BB23" s="52" t="n">
        <f aca="false">SUMPRODUCT(BB$8:BB$14,Reference!$G$61:$G$67)</f>
        <v>0</v>
      </c>
      <c r="BC23" s="49" t="n">
        <f aca="false">SUM(C23:BB23)</f>
        <v>27</v>
      </c>
      <c r="BD23" s="29" t="n">
        <f aca="false">BC23*HrsWk</f>
        <v>1080</v>
      </c>
      <c r="BE23" s="30" t="n">
        <f aca="false">BD23*B23</f>
        <v>88560</v>
      </c>
    </row>
    <row r="24" customFormat="false" ht="15" hidden="false" customHeight="false" outlineLevel="0" collapsed="false">
      <c r="A24" s="24" t="s">
        <v>180</v>
      </c>
      <c r="B24" s="1"/>
      <c r="C24" s="50" t="n">
        <f aca="false">SUM(C18:C23)</f>
        <v>3</v>
      </c>
      <c r="D24" s="50" t="n">
        <f aca="false">SUM(D18:D23)</f>
        <v>3</v>
      </c>
      <c r="E24" s="50" t="n">
        <f aca="false">SUM(E18:E23)</f>
        <v>3</v>
      </c>
      <c r="F24" s="50" t="n">
        <f aca="false">SUM(F18:F23)</f>
        <v>3</v>
      </c>
      <c r="G24" s="50" t="n">
        <f aca="false">SUM(G18:G23)</f>
        <v>3</v>
      </c>
      <c r="H24" s="50" t="n">
        <f aca="false">SUM(H18:H23)</f>
        <v>7</v>
      </c>
      <c r="I24" s="50" t="n">
        <f aca="false">SUM(I18:I23)</f>
        <v>7</v>
      </c>
      <c r="J24" s="50" t="n">
        <f aca="false">SUM(J18:J23)</f>
        <v>8</v>
      </c>
      <c r="K24" s="50" t="n">
        <f aca="false">SUM(K18:K23)</f>
        <v>8</v>
      </c>
      <c r="L24" s="50" t="n">
        <f aca="false">SUM(L18:L23)</f>
        <v>9</v>
      </c>
      <c r="M24" s="50" t="n">
        <f aca="false">SUM(M18:M23)</f>
        <v>9</v>
      </c>
      <c r="N24" s="50" t="n">
        <f aca="false">SUM(N18:N23)</f>
        <v>9</v>
      </c>
      <c r="O24" s="50" t="n">
        <f aca="false">SUM(O18:O23)</f>
        <v>9</v>
      </c>
      <c r="P24" s="50" t="n">
        <f aca="false">SUM(P18:P23)</f>
        <v>9</v>
      </c>
      <c r="Q24" s="50" t="n">
        <f aca="false">SUM(Q18:Q23)</f>
        <v>9</v>
      </c>
      <c r="R24" s="50" t="n">
        <f aca="false">SUM(R18:R23)</f>
        <v>9</v>
      </c>
      <c r="S24" s="50" t="n">
        <f aca="false">SUM(S18:S23)</f>
        <v>9</v>
      </c>
      <c r="T24" s="50" t="n">
        <f aca="false">SUM(T18:T23)</f>
        <v>9</v>
      </c>
      <c r="U24" s="50" t="n">
        <f aca="false">SUM(U18:U23)</f>
        <v>9</v>
      </c>
      <c r="V24" s="50" t="n">
        <f aca="false">SUM(V18:V23)</f>
        <v>9</v>
      </c>
      <c r="W24" s="50" t="n">
        <f aca="false">SUM(W18:W23)</f>
        <v>9</v>
      </c>
      <c r="X24" s="50" t="n">
        <f aca="false">SUM(X18:X23)</f>
        <v>3</v>
      </c>
      <c r="Y24" s="50" t="n">
        <f aca="false">SUM(Y18:Y23)</f>
        <v>3</v>
      </c>
      <c r="Z24" s="50" t="n">
        <f aca="false">SUM(Z18:Z23)</f>
        <v>2</v>
      </c>
      <c r="AA24" s="50" t="n">
        <f aca="false">SUM(AA18:AA23)</f>
        <v>2</v>
      </c>
      <c r="AB24" s="50" t="n">
        <f aca="false">SUM(AB18:AB23)</f>
        <v>3</v>
      </c>
      <c r="AC24" s="50" t="n">
        <f aca="false">SUM(AC18:AC23)</f>
        <v>3</v>
      </c>
      <c r="AD24" s="50" t="n">
        <f aca="false">SUM(AD18:AD23)</f>
        <v>0</v>
      </c>
      <c r="AE24" s="50" t="n">
        <f aca="false">SUM(AE18:AE23)</f>
        <v>0</v>
      </c>
      <c r="AF24" s="50" t="n">
        <f aca="false">SUM(AF18:AF23)</f>
        <v>0</v>
      </c>
      <c r="AG24" s="50" t="n">
        <f aca="false">SUM(AG18:AG23)</f>
        <v>0</v>
      </c>
      <c r="AH24" s="50" t="n">
        <f aca="false">SUM(AH18:AH23)</f>
        <v>0</v>
      </c>
      <c r="AI24" s="50" t="n">
        <f aca="false">SUM(AI18:AI23)</f>
        <v>0</v>
      </c>
      <c r="AJ24" s="50" t="n">
        <f aca="false">SUM(AJ18:AJ23)</f>
        <v>0</v>
      </c>
      <c r="AK24" s="50" t="n">
        <f aca="false">SUM(AK18:AK23)</f>
        <v>0</v>
      </c>
      <c r="AL24" s="50" t="n">
        <f aca="false">SUM(AL18:AL23)</f>
        <v>0</v>
      </c>
      <c r="AM24" s="50" t="n">
        <f aca="false">SUM(AM18:AM23)</f>
        <v>0</v>
      </c>
      <c r="AN24" s="50" t="n">
        <f aca="false">SUM(AN18:AN23)</f>
        <v>0</v>
      </c>
      <c r="AO24" s="50" t="n">
        <f aca="false">SUM(AO18:AO23)</f>
        <v>0</v>
      </c>
      <c r="AP24" s="50" t="n">
        <f aca="false">SUM(AP18:AP23)</f>
        <v>0</v>
      </c>
      <c r="AQ24" s="50" t="n">
        <f aca="false">SUM(AQ18:AQ23)</f>
        <v>0</v>
      </c>
      <c r="AR24" s="50" t="n">
        <f aca="false">SUM(AR18:AR23)</f>
        <v>0</v>
      </c>
      <c r="AS24" s="50" t="n">
        <f aca="false">SUM(AS18:AS23)</f>
        <v>0</v>
      </c>
      <c r="AT24" s="50" t="n">
        <f aca="false">SUM(AT18:AT23)</f>
        <v>0</v>
      </c>
      <c r="AU24" s="50" t="n">
        <f aca="false">SUM(AU18:AU23)</f>
        <v>0</v>
      </c>
      <c r="AV24" s="50" t="n">
        <f aca="false">SUM(AV18:AV23)</f>
        <v>0</v>
      </c>
      <c r="AW24" s="50" t="n">
        <f aca="false">SUM(AW18:AW23)</f>
        <v>0</v>
      </c>
      <c r="AX24" s="50" t="n">
        <f aca="false">SUM(AX18:AX23)</f>
        <v>0</v>
      </c>
      <c r="AY24" s="50" t="n">
        <f aca="false">SUM(AY18:AY23)</f>
        <v>0</v>
      </c>
      <c r="AZ24" s="50" t="n">
        <f aca="false">SUM(AZ18:AZ23)</f>
        <v>0</v>
      </c>
      <c r="BA24" s="50" t="n">
        <f aca="false">SUM(BA18:BA23)</f>
        <v>0</v>
      </c>
      <c r="BB24" s="50" t="n">
        <f aca="false">SUM(BB18:BB23)</f>
        <v>0</v>
      </c>
      <c r="BC24" s="53" t="n">
        <f aca="false">SUM(BC18:BC23)</f>
        <v>169</v>
      </c>
      <c r="BD24" s="25" t="n">
        <f aca="false">SUM(BD18:BD23)</f>
        <v>6760</v>
      </c>
      <c r="BE24" s="38" t="n">
        <f aca="false">SUM(BE18:BE23)</f>
        <v>431696</v>
      </c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</row>
    <row r="26" customFormat="false" ht="15" hidden="false" customHeight="false" outlineLevel="0" collapsed="false">
      <c r="A26" s="43" t="s">
        <v>181</v>
      </c>
      <c r="B26" s="25" t="n">
        <f aca="false">HrsWk</f>
        <v>40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</row>
    <row r="27" customFormat="false" ht="15" hidden="false" customHeight="false" outlineLevel="0" collapsed="false">
      <c r="A27" s="43" t="s">
        <v>17</v>
      </c>
      <c r="B27" s="53" t="n">
        <f aca="false">MAX(PlanHeadcount)</f>
        <v>9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</row>
    <row r="28" customFormat="false" ht="15" hidden="false" customHeight="false" outlineLevel="0" collapsed="false">
      <c r="A28" s="43" t="s">
        <v>19</v>
      </c>
      <c r="B28" s="53" t="n">
        <f aca="false">IF(DurWeeks&gt;0,PlanPW/DurWeeks,0)</f>
        <v>6.25925925925926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</row>
    <row r="29" customFormat="false" ht="15" hidden="false" customHeight="false" outlineLevel="0" collapsed="false">
      <c r="A29" s="43" t="s">
        <v>21</v>
      </c>
      <c r="B29" s="54" t="n">
        <f aca="false">IF(PlanHrs&gt;0,PlanCost/PlanHrs,0)</f>
        <v>63.8603550295858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</row>
    <row r="30" customFormat="false" ht="15" hidden="false" customHeight="false" outlineLevel="0" collapsed="false">
      <c r="A30" s="43" t="s">
        <v>182</v>
      </c>
      <c r="B30" s="55" t="n">
        <f aca="false">IF(EstHrs&gt;0,PlanHrs/EstHrs-1,0)</f>
        <v>0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</row>
  </sheetData>
  <sheetProtection sheet="true" formatColumns="false" formatRows="false"/>
  <conditionalFormatting sqref="C8:BB8">
    <cfRule type="cellIs" priority="2" operator="greaterThan" aboveAverage="0" equalAverage="0" bottom="0" percent="0" rank="0" text="" dxfId="2">
      <formula>0</formula>
    </cfRule>
  </conditionalFormatting>
  <conditionalFormatting sqref="C9:BB9">
    <cfRule type="cellIs" priority="3" operator="greaterThan" aboveAverage="0" equalAverage="0" bottom="0" percent="0" rank="0" text="" dxfId="3">
      <formula>0</formula>
    </cfRule>
  </conditionalFormatting>
  <conditionalFormatting sqref="C10:BB10">
    <cfRule type="cellIs" priority="4" operator="greaterThan" aboveAverage="0" equalAverage="0" bottom="0" percent="0" rank="0" text="" dxfId="4">
      <formula>0</formula>
    </cfRule>
  </conditionalFormatting>
  <conditionalFormatting sqref="C11:BB11">
    <cfRule type="cellIs" priority="5" operator="greaterThan" aboveAverage="0" equalAverage="0" bottom="0" percent="0" rank="0" text="" dxfId="5">
      <formula>0</formula>
    </cfRule>
  </conditionalFormatting>
  <conditionalFormatting sqref="C12:BB12">
    <cfRule type="cellIs" priority="6" operator="greaterThan" aboveAverage="0" equalAverage="0" bottom="0" percent="0" rank="0" text="" dxfId="6">
      <formula>0</formula>
    </cfRule>
  </conditionalFormatting>
  <conditionalFormatting sqref="C13:BB13">
    <cfRule type="cellIs" priority="7" operator="greaterThan" aboveAverage="0" equalAverage="0" bottom="0" percent="0" rank="0" text="" dxfId="7">
      <formula>0</formula>
    </cfRule>
  </conditionalFormatting>
  <conditionalFormatting sqref="C14:BB14">
    <cfRule type="cellIs" priority="8" operator="greaterThan" aboveAverage="0" equalAverage="0" bottom="0" percent="0" rank="0" text="" dxfId="8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2" style="0" width="14"/>
    <col collapsed="false" customWidth="true" hidden="false" outlineLevel="0" max="8" min="8" style="0" width="9"/>
    <col collapsed="false" customWidth="true" hidden="false" outlineLevel="0" max="9" min="9" style="0" width="22"/>
    <col collapsed="false" customWidth="true" hidden="false" outlineLevel="0" max="10" min="10" style="0" width="26"/>
    <col collapsed="false" customWidth="true" hidden="false" outlineLevel="0" max="11" min="11" style="0" width="10"/>
    <col collapsed="false" customWidth="true" hidden="false" outlineLevel="0" max="12" min="12" style="0" width="32"/>
    <col collapsed="false" customWidth="true" hidden="false" outlineLevel="0" max="13" min="13" style="0" width="22"/>
    <col collapsed="false" customWidth="true" hidden="false" outlineLevel="0" max="14" min="14" style="0" width="20"/>
    <col collapsed="false" customWidth="true" hidden="false" outlineLevel="0" max="15" min="15" style="0" width="9"/>
    <col collapsed="false" customWidth="true" hidden="false" outlineLevel="0" max="16" min="16" style="0" width="30"/>
  </cols>
  <sheetData>
    <row r="1" customFormat="false" ht="19.7" hidden="false" customHeight="false" outlineLevel="0" collapsed="false">
      <c r="A1" s="2" t="s">
        <v>183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5" hidden="false" customHeight="false" outlineLevel="0" collapsed="false">
      <c r="A2" s="3" t="s">
        <v>184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4" t="s">
        <v>185</v>
      </c>
      <c r="J4" s="5"/>
      <c r="K4" s="5"/>
      <c r="L4" s="1"/>
      <c r="M4" s="4" t="s">
        <v>186</v>
      </c>
      <c r="N4" s="5"/>
      <c r="O4" s="5"/>
      <c r="P4" s="5"/>
      <c r="Q4" s="1"/>
      <c r="R4" s="1"/>
      <c r="S4" s="1"/>
    </row>
    <row r="5" customFormat="false" ht="31.5" hidden="false" customHeight="true" outlineLevel="0" collapsed="false">
      <c r="A5" s="4" t="s">
        <v>187</v>
      </c>
      <c r="B5" s="5"/>
      <c r="C5" s="1"/>
      <c r="D5" s="1"/>
      <c r="E5" s="1"/>
      <c r="F5" s="1"/>
      <c r="G5" s="1"/>
      <c r="H5" s="1"/>
      <c r="I5" s="17" t="s">
        <v>188</v>
      </c>
      <c r="J5" s="17" t="s">
        <v>189</v>
      </c>
      <c r="K5" s="1"/>
      <c r="L5" s="1"/>
      <c r="M5" s="17" t="s">
        <v>190</v>
      </c>
      <c r="N5" s="17" t="s">
        <v>191</v>
      </c>
      <c r="O5" s="17" t="s">
        <v>192</v>
      </c>
      <c r="P5" s="17" t="s">
        <v>193</v>
      </c>
      <c r="Q5" s="1"/>
      <c r="R5" s="17" t="s">
        <v>194</v>
      </c>
      <c r="S5" s="17" t="s">
        <v>195</v>
      </c>
    </row>
    <row r="6" customFormat="false" ht="15" hidden="false" customHeight="false" outlineLevel="0" collapsed="false">
      <c r="A6" s="6" t="s">
        <v>196</v>
      </c>
      <c r="B6" s="18" t="n">
        <v>40</v>
      </c>
      <c r="C6" s="1"/>
      <c r="D6" s="1"/>
      <c r="E6" s="1"/>
      <c r="F6" s="1"/>
      <c r="G6" s="1"/>
      <c r="H6" s="1"/>
      <c r="I6" s="7" t="s">
        <v>197</v>
      </c>
      <c r="J6" s="7" t="s">
        <v>198</v>
      </c>
      <c r="K6" s="1"/>
      <c r="L6" s="1"/>
      <c r="M6" s="7" t="s">
        <v>60</v>
      </c>
      <c r="N6" s="7" t="s">
        <v>61</v>
      </c>
      <c r="O6" s="56" t="n">
        <v>1</v>
      </c>
      <c r="P6" s="6" t="str">
        <f aca="false">IF(M6="","",M6&amp;"|"&amp;N6)</f>
        <v>OBIEE|Power BI</v>
      </c>
      <c r="Q6" s="1"/>
      <c r="R6" s="6" t="s">
        <v>23</v>
      </c>
      <c r="S6" s="6" t="n">
        <v>1</v>
      </c>
    </row>
    <row r="7" customFormat="false" ht="15" hidden="false" customHeight="false" outlineLevel="0" collapsed="false">
      <c r="A7" s="6" t="s">
        <v>199</v>
      </c>
      <c r="B7" s="14" t="n">
        <v>-0.1</v>
      </c>
      <c r="C7" s="1"/>
      <c r="D7" s="1"/>
      <c r="E7" s="1"/>
      <c r="F7" s="1"/>
      <c r="G7" s="1"/>
      <c r="H7" s="1"/>
      <c r="I7" s="7" t="s">
        <v>60</v>
      </c>
      <c r="J7" s="7" t="s">
        <v>198</v>
      </c>
      <c r="K7" s="1"/>
      <c r="L7" s="1"/>
      <c r="M7" s="7" t="s">
        <v>200</v>
      </c>
      <c r="N7" s="7" t="s">
        <v>61</v>
      </c>
      <c r="O7" s="56" t="n">
        <v>1.1</v>
      </c>
      <c r="P7" s="6" t="str">
        <f aca="false">IF(M7="","",M7&amp;"|"&amp;N7)</f>
        <v>Cognos|Power BI</v>
      </c>
      <c r="Q7" s="1"/>
      <c r="R7" s="6" t="s">
        <v>26</v>
      </c>
      <c r="S7" s="6" t="n">
        <v>2</v>
      </c>
    </row>
    <row r="8" customFormat="false" ht="15" hidden="false" customHeight="false" outlineLevel="0" collapsed="false">
      <c r="A8" s="6" t="s">
        <v>201</v>
      </c>
      <c r="B8" s="14" t="n">
        <v>0.25</v>
      </c>
      <c r="C8" s="1"/>
      <c r="D8" s="1"/>
      <c r="E8" s="1"/>
      <c r="F8" s="1"/>
      <c r="G8" s="1"/>
      <c r="H8" s="1"/>
      <c r="I8" s="7" t="s">
        <v>202</v>
      </c>
      <c r="J8" s="7" t="s">
        <v>198</v>
      </c>
      <c r="K8" s="1"/>
      <c r="L8" s="1"/>
      <c r="M8" s="7" t="s">
        <v>197</v>
      </c>
      <c r="N8" s="7" t="s">
        <v>61</v>
      </c>
      <c r="O8" s="56" t="n">
        <v>1.25</v>
      </c>
      <c r="P8" s="6" t="str">
        <f aca="false">IF(M8="","",M8&amp;"|"&amp;N8)</f>
        <v>SAP BusinessObjects|Power BI</v>
      </c>
      <c r="Q8" s="1"/>
      <c r="R8" s="1"/>
      <c r="S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7" t="s">
        <v>203</v>
      </c>
      <c r="J9" s="7" t="s">
        <v>198</v>
      </c>
      <c r="K9" s="1"/>
      <c r="L9" s="1"/>
      <c r="M9" s="7" t="s">
        <v>204</v>
      </c>
      <c r="N9" s="7" t="s">
        <v>61</v>
      </c>
      <c r="O9" s="56" t="n">
        <v>0.95</v>
      </c>
      <c r="P9" s="6" t="str">
        <f aca="false">IF(M9="","",M9&amp;"|"&amp;N9)</f>
        <v>Tableau|Power BI</v>
      </c>
      <c r="Q9" s="1"/>
      <c r="R9" s="1"/>
      <c r="S9" s="1"/>
    </row>
    <row r="10" customFormat="false" ht="15" hidden="false" customHeight="false" outlineLevel="0" collapsed="false">
      <c r="A10" s="4" t="s">
        <v>205</v>
      </c>
      <c r="B10" s="5"/>
      <c r="C10" s="5"/>
      <c r="D10" s="5"/>
      <c r="E10" s="5"/>
      <c r="F10" s="1"/>
      <c r="G10" s="1"/>
      <c r="H10" s="1"/>
      <c r="I10" s="7" t="s">
        <v>200</v>
      </c>
      <c r="J10" s="7" t="s">
        <v>198</v>
      </c>
      <c r="K10" s="1"/>
      <c r="L10" s="1"/>
      <c r="M10" s="7" t="s">
        <v>206</v>
      </c>
      <c r="N10" s="7" t="s">
        <v>61</v>
      </c>
      <c r="O10" s="56" t="n">
        <v>1.05</v>
      </c>
      <c r="P10" s="6" t="str">
        <f aca="false">IF(M10="","",M10&amp;"|"&amp;N10)</f>
        <v>SSRS|Power BI</v>
      </c>
      <c r="Q10" s="1"/>
      <c r="R10" s="1"/>
      <c r="S10" s="1"/>
    </row>
    <row r="11" customFormat="false" ht="31.5" hidden="false" customHeight="true" outlineLevel="0" collapsed="false">
      <c r="A11" s="17" t="s">
        <v>36</v>
      </c>
      <c r="B11" s="17" t="s">
        <v>37</v>
      </c>
      <c r="C11" s="17" t="s">
        <v>38</v>
      </c>
      <c r="D11" s="17" t="s">
        <v>39</v>
      </c>
      <c r="E11" s="17" t="s">
        <v>40</v>
      </c>
      <c r="F11" s="1"/>
      <c r="G11" s="1"/>
      <c r="H11" s="1"/>
      <c r="I11" s="7" t="s">
        <v>206</v>
      </c>
      <c r="J11" s="7" t="s">
        <v>207</v>
      </c>
      <c r="K11" s="1"/>
      <c r="L11" s="1"/>
      <c r="M11" s="7" t="s">
        <v>60</v>
      </c>
      <c r="N11" s="7" t="s">
        <v>208</v>
      </c>
      <c r="O11" s="56" t="n">
        <v>1.2</v>
      </c>
      <c r="P11" s="6" t="str">
        <f aca="false">IF(M11="","",M11&amp;"|"&amp;N11)</f>
        <v>OBIEE|QuickSight</v>
      </c>
      <c r="Q11" s="1"/>
      <c r="R11" s="1"/>
      <c r="S11" s="1"/>
    </row>
    <row r="12" customFormat="false" ht="15" hidden="false" customHeight="false" outlineLevel="0" collapsed="false">
      <c r="A12" s="6" t="s">
        <v>209</v>
      </c>
      <c r="B12" s="57" t="n">
        <v>3.625</v>
      </c>
      <c r="C12" s="57" t="n">
        <v>6.625</v>
      </c>
      <c r="D12" s="57" t="n">
        <v>9.125</v>
      </c>
      <c r="E12" s="57" t="n">
        <v>12.625</v>
      </c>
      <c r="F12" s="1"/>
      <c r="G12" s="1"/>
      <c r="H12" s="1"/>
      <c r="I12" s="7" t="s">
        <v>210</v>
      </c>
      <c r="J12" s="7" t="s">
        <v>207</v>
      </c>
      <c r="K12" s="1"/>
      <c r="L12" s="1"/>
      <c r="M12" s="7" t="s">
        <v>200</v>
      </c>
      <c r="N12" s="7" t="s">
        <v>208</v>
      </c>
      <c r="O12" s="56" t="n">
        <v>1.25</v>
      </c>
      <c r="P12" s="6" t="str">
        <f aca="false">IF(M12="","",M12&amp;"|"&amp;N12)</f>
        <v>Cognos|QuickSight</v>
      </c>
      <c r="Q12" s="1"/>
      <c r="R12" s="1"/>
      <c r="S12" s="1"/>
    </row>
    <row r="13" customFormat="false" ht="15" hidden="false" customHeight="false" outlineLevel="0" collapsed="false">
      <c r="A13" s="6" t="s">
        <v>211</v>
      </c>
      <c r="B13" s="14" t="n">
        <v>0.6</v>
      </c>
      <c r="C13" s="14" t="n">
        <v>0.3</v>
      </c>
      <c r="D13" s="14" t="n">
        <v>0.1</v>
      </c>
      <c r="E13" s="14" t="n">
        <v>0</v>
      </c>
      <c r="F13" s="1"/>
      <c r="G13" s="1"/>
      <c r="H13" s="1"/>
      <c r="I13" s="7" t="s">
        <v>204</v>
      </c>
      <c r="J13" s="7" t="s">
        <v>212</v>
      </c>
      <c r="K13" s="1"/>
      <c r="L13" s="1"/>
      <c r="M13" s="7" t="s">
        <v>204</v>
      </c>
      <c r="N13" s="7" t="s">
        <v>208</v>
      </c>
      <c r="O13" s="56" t="n">
        <v>1.1</v>
      </c>
      <c r="P13" s="6" t="str">
        <f aca="false">IF(M13="","",M13&amp;"|"&amp;N13)</f>
        <v>Tableau|QuickSight</v>
      </c>
      <c r="Q13" s="1"/>
      <c r="R13" s="1"/>
      <c r="S13" s="1"/>
    </row>
    <row r="14" customFormat="false" ht="15" hidden="false" customHeight="false" outlineLevel="0" collapsed="false">
      <c r="A14" s="6" t="s">
        <v>62</v>
      </c>
      <c r="B14" s="14" t="n">
        <v>0.4</v>
      </c>
      <c r="C14" s="14" t="n">
        <v>0.4</v>
      </c>
      <c r="D14" s="14" t="n">
        <v>0.15</v>
      </c>
      <c r="E14" s="14" t="n">
        <v>0.05</v>
      </c>
      <c r="F14" s="1"/>
      <c r="G14" s="1"/>
      <c r="H14" s="1"/>
      <c r="I14" s="7" t="s">
        <v>61</v>
      </c>
      <c r="J14" s="7" t="s">
        <v>212</v>
      </c>
      <c r="K14" s="1"/>
      <c r="L14" s="1"/>
      <c r="M14" s="7" t="s">
        <v>206</v>
      </c>
      <c r="N14" s="7" t="s">
        <v>208</v>
      </c>
      <c r="O14" s="56" t="n">
        <v>1.2</v>
      </c>
      <c r="P14" s="6" t="str">
        <f aca="false">IF(M14="","",M14&amp;"|"&amp;N14)</f>
        <v>SSRS|QuickSight</v>
      </c>
      <c r="Q14" s="1"/>
      <c r="R14" s="1"/>
      <c r="S14" s="1"/>
    </row>
    <row r="15" customFormat="false" ht="15" hidden="false" customHeight="false" outlineLevel="0" collapsed="false">
      <c r="A15" s="6" t="s">
        <v>213</v>
      </c>
      <c r="B15" s="14" t="n">
        <v>0.2</v>
      </c>
      <c r="C15" s="14" t="n">
        <v>0.4</v>
      </c>
      <c r="D15" s="14" t="n">
        <v>0.3</v>
      </c>
      <c r="E15" s="14" t="n">
        <v>0.1</v>
      </c>
      <c r="F15" s="1"/>
      <c r="G15" s="1"/>
      <c r="H15" s="1"/>
      <c r="I15" s="7" t="s">
        <v>208</v>
      </c>
      <c r="J15" s="7" t="s">
        <v>212</v>
      </c>
      <c r="K15" s="1"/>
      <c r="L15" s="1"/>
      <c r="M15" s="7" t="s">
        <v>197</v>
      </c>
      <c r="N15" s="7" t="s">
        <v>208</v>
      </c>
      <c r="O15" s="56" t="n">
        <v>1.3</v>
      </c>
      <c r="P15" s="6" t="str">
        <f aca="false">IF(M15="","",M15&amp;"|"&amp;N15)</f>
        <v>SAP BusinessObjects|QuickSight</v>
      </c>
      <c r="Q15" s="1"/>
      <c r="R15" s="1"/>
      <c r="S15" s="1"/>
    </row>
    <row r="16" customFormat="false" ht="15" hidden="false" customHeight="false" outlineLevel="0" collapsed="false">
      <c r="A16" s="6" t="s">
        <v>214</v>
      </c>
      <c r="B16" s="45" t="s">
        <v>215</v>
      </c>
      <c r="C16" s="45" t="s">
        <v>215</v>
      </c>
      <c r="D16" s="45" t="s">
        <v>215</v>
      </c>
      <c r="E16" s="45" t="s">
        <v>215</v>
      </c>
      <c r="F16" s="1"/>
      <c r="G16" s="1"/>
      <c r="H16" s="1"/>
      <c r="I16" s="7" t="s">
        <v>216</v>
      </c>
      <c r="J16" s="7" t="s">
        <v>212</v>
      </c>
      <c r="K16" s="1"/>
      <c r="L16" s="1"/>
      <c r="M16" s="7" t="s">
        <v>200</v>
      </c>
      <c r="N16" s="7" t="s">
        <v>217</v>
      </c>
      <c r="O16" s="56" t="n">
        <v>1.25</v>
      </c>
      <c r="P16" s="6" t="str">
        <f aca="false">IF(M16="","",M16&amp;"|"&amp;N16)</f>
        <v>Cognos|Looker</v>
      </c>
      <c r="Q16" s="1"/>
      <c r="R16" s="1"/>
      <c r="S16" s="1"/>
    </row>
    <row r="17" customFormat="false" ht="15" hidden="false" customHeight="false" outlineLevel="0" collapsed="false">
      <c r="A17" s="6" t="s">
        <v>218</v>
      </c>
      <c r="B17" s="58" t="n">
        <v>0.1125</v>
      </c>
      <c r="C17" s="1"/>
      <c r="D17" s="1"/>
      <c r="E17" s="1"/>
      <c r="F17" s="1"/>
      <c r="G17" s="1"/>
      <c r="H17" s="1"/>
      <c r="I17" s="7" t="s">
        <v>219</v>
      </c>
      <c r="J17" s="7" t="s">
        <v>212</v>
      </c>
      <c r="K17" s="1"/>
      <c r="L17" s="1"/>
      <c r="M17" s="7" t="s">
        <v>60</v>
      </c>
      <c r="N17" s="7" t="s">
        <v>217</v>
      </c>
      <c r="O17" s="56" t="n">
        <v>1.2</v>
      </c>
      <c r="P17" s="6" t="str">
        <f aca="false">IF(M17="","",M17&amp;"|"&amp;N17)</f>
        <v>OBIEE|Looker</v>
      </c>
      <c r="Q17" s="1"/>
      <c r="R17" s="1"/>
      <c r="S17" s="1"/>
    </row>
    <row r="18" customFormat="false" ht="15" hidden="false" customHeight="false" outlineLevel="0" collapsed="false">
      <c r="A18" s="6" t="s">
        <v>220</v>
      </c>
      <c r="B18" s="14" t="n">
        <v>0.05</v>
      </c>
      <c r="C18" s="1"/>
      <c r="D18" s="1"/>
      <c r="E18" s="1"/>
      <c r="F18" s="1"/>
      <c r="G18" s="1"/>
      <c r="H18" s="1"/>
      <c r="I18" s="7" t="s">
        <v>221</v>
      </c>
      <c r="J18" s="7" t="s">
        <v>212</v>
      </c>
      <c r="K18" s="1"/>
      <c r="L18" s="1"/>
      <c r="M18" s="7" t="s">
        <v>204</v>
      </c>
      <c r="N18" s="7" t="s">
        <v>217</v>
      </c>
      <c r="O18" s="56" t="n">
        <v>1.1</v>
      </c>
      <c r="P18" s="6" t="str">
        <f aca="false">IF(M18="","",M18&amp;"|"&amp;N18)</f>
        <v>Tableau|Looker</v>
      </c>
      <c r="Q18" s="1"/>
      <c r="R18" s="1"/>
      <c r="S18" s="1"/>
    </row>
    <row r="19" customFormat="false" ht="15" hidden="false" customHeight="false" outlineLevel="0" collapsed="false">
      <c r="A19" s="6" t="s">
        <v>222</v>
      </c>
      <c r="B19" s="14" t="n">
        <v>0.15</v>
      </c>
      <c r="C19" s="1"/>
      <c r="D19" s="1"/>
      <c r="E19" s="1"/>
      <c r="F19" s="1"/>
      <c r="G19" s="1"/>
      <c r="H19" s="1"/>
      <c r="I19" s="7" t="s">
        <v>217</v>
      </c>
      <c r="J19" s="7" t="s">
        <v>223</v>
      </c>
      <c r="K19" s="1"/>
      <c r="L19" s="1"/>
      <c r="M19" s="7" t="s">
        <v>206</v>
      </c>
      <c r="N19" s="7" t="s">
        <v>217</v>
      </c>
      <c r="O19" s="56" t="n">
        <v>1.2</v>
      </c>
      <c r="P19" s="6" t="str">
        <f aca="false">IF(M19="","",M19&amp;"|"&amp;N19)</f>
        <v>SSRS|Looker</v>
      </c>
      <c r="Q19" s="1"/>
      <c r="R19" s="1"/>
      <c r="S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7"/>
      <c r="J20" s="7"/>
      <c r="K20" s="1"/>
      <c r="L20" s="1"/>
      <c r="M20" s="7" t="s">
        <v>197</v>
      </c>
      <c r="N20" s="7" t="s">
        <v>217</v>
      </c>
      <c r="O20" s="56" t="n">
        <v>1.3</v>
      </c>
      <c r="P20" s="6" t="str">
        <f aca="false">IF(M20="","",M20&amp;"|"&amp;N20)</f>
        <v>SAP BusinessObjects|Looker</v>
      </c>
      <c r="Q20" s="1"/>
      <c r="R20" s="1"/>
      <c r="S20" s="1"/>
    </row>
    <row r="21" customFormat="false" ht="15" hidden="false" customHeight="false" outlineLevel="0" collapsed="false">
      <c r="A21" s="4" t="s">
        <v>224</v>
      </c>
      <c r="B21" s="5"/>
      <c r="C21" s="5"/>
      <c r="D21" s="5"/>
      <c r="E21" s="5"/>
      <c r="F21" s="1"/>
      <c r="G21" s="1"/>
      <c r="H21" s="1"/>
      <c r="I21" s="7"/>
      <c r="J21" s="7"/>
      <c r="K21" s="1"/>
      <c r="L21" s="1"/>
      <c r="M21" s="7"/>
      <c r="N21" s="7"/>
      <c r="O21" s="56"/>
      <c r="P21" s="6" t="str">
        <f aca="false">IF(M21="","",M21&amp;"|"&amp;N21)</f>
        <v/>
      </c>
      <c r="Q21" s="1"/>
      <c r="R21" s="1"/>
      <c r="S21" s="1"/>
    </row>
    <row r="22" customFormat="false" ht="31.5" hidden="false" customHeight="true" outlineLevel="0" collapsed="false">
      <c r="A22" s="17" t="s">
        <v>43</v>
      </c>
      <c r="B22" s="17" t="s">
        <v>225</v>
      </c>
      <c r="C22" s="17" t="s">
        <v>63</v>
      </c>
      <c r="D22" s="17" t="s">
        <v>226</v>
      </c>
      <c r="E22" s="17" t="s">
        <v>227</v>
      </c>
      <c r="F22" s="1"/>
      <c r="G22" s="1"/>
      <c r="H22" s="1"/>
      <c r="I22" s="7"/>
      <c r="J22" s="7"/>
      <c r="K22" s="1"/>
      <c r="L22" s="1"/>
      <c r="M22" s="7"/>
      <c r="N22" s="7"/>
      <c r="O22" s="56"/>
      <c r="P22" s="6" t="str">
        <f aca="false">IF(M22="","",M22&amp;"|"&amp;N22)</f>
        <v/>
      </c>
      <c r="Q22" s="1"/>
      <c r="R22" s="1"/>
      <c r="S22" s="1"/>
    </row>
    <row r="23" customFormat="false" ht="15" hidden="false" customHeight="false" outlineLevel="0" collapsed="false">
      <c r="A23" s="6" t="s">
        <v>228</v>
      </c>
      <c r="B23" s="18" t="n">
        <v>80</v>
      </c>
      <c r="C23" s="18" t="n">
        <v>120</v>
      </c>
      <c r="D23" s="18" t="n">
        <v>200</v>
      </c>
      <c r="E23" s="18" t="n">
        <v>320</v>
      </c>
      <c r="F23" s="1"/>
      <c r="G23" s="1"/>
      <c r="H23" s="1"/>
      <c r="I23" s="7"/>
      <c r="J23" s="7"/>
      <c r="K23" s="1"/>
      <c r="L23" s="1"/>
      <c r="M23" s="7"/>
      <c r="N23" s="7"/>
      <c r="O23" s="56"/>
      <c r="P23" s="6" t="str">
        <f aca="false">IF(M23="","",M23&amp;"|"&amp;N23)</f>
        <v/>
      </c>
      <c r="Q23" s="1"/>
      <c r="R23" s="1"/>
      <c r="S23" s="1"/>
    </row>
    <row r="24" customFormat="false" ht="15" hidden="false" customHeight="false" outlineLevel="0" collapsed="false">
      <c r="A24" s="6" t="s">
        <v>229</v>
      </c>
      <c r="B24" s="6" t="s">
        <v>225</v>
      </c>
      <c r="C24" s="6" t="s">
        <v>63</v>
      </c>
      <c r="D24" s="6" t="s">
        <v>226</v>
      </c>
      <c r="E24" s="6" t="s">
        <v>227</v>
      </c>
      <c r="F24" s="1"/>
      <c r="G24" s="1"/>
      <c r="H24" s="1"/>
      <c r="I24" s="7"/>
      <c r="J24" s="7"/>
      <c r="K24" s="1"/>
      <c r="L24" s="1"/>
      <c r="M24" s="7"/>
      <c r="N24" s="7"/>
      <c r="O24" s="56"/>
      <c r="P24" s="6" t="str">
        <f aca="false">IF(M24="","",M24&amp;"|"&amp;N24)</f>
        <v/>
      </c>
      <c r="Q24" s="1"/>
      <c r="R24" s="1"/>
      <c r="S24" s="1"/>
    </row>
    <row r="25" customFormat="false" ht="15" hidden="false" customHeight="false" outlineLevel="0" collapsed="false">
      <c r="A25" s="6" t="s">
        <v>230</v>
      </c>
      <c r="B25" s="18" t="n">
        <v>16</v>
      </c>
      <c r="C25" s="1"/>
      <c r="D25" s="1"/>
      <c r="E25" s="1"/>
      <c r="F25" s="1"/>
      <c r="G25" s="1"/>
      <c r="H25" s="1"/>
      <c r="I25" s="7"/>
      <c r="J25" s="7"/>
      <c r="K25" s="1"/>
      <c r="L25" s="1"/>
      <c r="M25" s="7"/>
      <c r="N25" s="7"/>
      <c r="O25" s="56"/>
      <c r="P25" s="6" t="str">
        <f aca="false">IF(M25="","",M25&amp;"|"&amp;N25)</f>
        <v/>
      </c>
      <c r="Q25" s="1"/>
      <c r="R25" s="1"/>
      <c r="S25" s="1"/>
    </row>
    <row r="26" customFormat="false" ht="15" hidden="false" customHeight="false" outlineLevel="0" collapsed="false">
      <c r="A26" s="6" t="s">
        <v>231</v>
      </c>
      <c r="B26" s="18" t="n">
        <v>40</v>
      </c>
      <c r="C26" s="1"/>
      <c r="D26" s="1"/>
      <c r="E26" s="1"/>
      <c r="F26" s="1"/>
      <c r="G26" s="1"/>
      <c r="H26" s="1"/>
      <c r="I26" s="7"/>
      <c r="J26" s="7"/>
      <c r="K26" s="1"/>
      <c r="L26" s="1"/>
      <c r="M26" s="7"/>
      <c r="N26" s="7"/>
      <c r="O26" s="56"/>
      <c r="P26" s="6" t="str">
        <f aca="false">IF(M26="","",M26&amp;"|"&amp;N26)</f>
        <v/>
      </c>
      <c r="Q26" s="1"/>
      <c r="R26" s="1"/>
      <c r="S26" s="1"/>
    </row>
    <row r="27" customFormat="false" ht="15" hidden="false" customHeight="false" outlineLevel="0" collapsed="false">
      <c r="A27" s="6" t="s">
        <v>232</v>
      </c>
      <c r="B27" s="18" t="n">
        <v>8</v>
      </c>
      <c r="C27" s="1"/>
      <c r="D27" s="1"/>
      <c r="E27" s="1"/>
      <c r="F27" s="1"/>
      <c r="G27" s="1"/>
      <c r="H27" s="1"/>
      <c r="I27" s="7"/>
      <c r="J27" s="7"/>
      <c r="K27" s="1"/>
      <c r="L27" s="1"/>
      <c r="M27" s="7"/>
      <c r="N27" s="7"/>
      <c r="O27" s="56"/>
      <c r="P27" s="6" t="str">
        <f aca="false">IF(M27="","",M27&amp;"|"&amp;N27)</f>
        <v/>
      </c>
      <c r="Q27" s="1"/>
      <c r="R27" s="1"/>
      <c r="S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7"/>
      <c r="J28" s="7"/>
      <c r="K28" s="1"/>
      <c r="L28" s="1"/>
      <c r="M28" s="7"/>
      <c r="N28" s="7"/>
      <c r="O28" s="56"/>
      <c r="P28" s="6" t="str">
        <f aca="false">IF(M28="","",M28&amp;"|"&amp;N28)</f>
        <v/>
      </c>
      <c r="Q28" s="1"/>
      <c r="R28" s="1"/>
      <c r="S28" s="1"/>
    </row>
    <row r="29" customFormat="false" ht="15" hidden="false" customHeight="false" outlineLevel="0" collapsed="false">
      <c r="A29" s="4" t="s">
        <v>233</v>
      </c>
      <c r="B29" s="5"/>
      <c r="C29" s="5"/>
      <c r="D29" s="5"/>
      <c r="E29" s="1"/>
      <c r="F29" s="1"/>
      <c r="G29" s="1"/>
      <c r="H29" s="1"/>
      <c r="I29" s="7"/>
      <c r="J29" s="7"/>
      <c r="K29" s="1"/>
      <c r="L29" s="1"/>
      <c r="M29" s="7"/>
      <c r="N29" s="7"/>
      <c r="O29" s="56"/>
      <c r="P29" s="6" t="str">
        <f aca="false">IF(M29="","",M29&amp;"|"&amp;N29)</f>
        <v/>
      </c>
      <c r="Q29" s="1"/>
      <c r="R29" s="1"/>
      <c r="S29" s="1"/>
    </row>
    <row r="30" customFormat="false" ht="31.5" hidden="false" customHeight="true" outlineLevel="0" collapsed="false">
      <c r="A30" s="17" t="s">
        <v>234</v>
      </c>
      <c r="B30" s="17" t="s">
        <v>235</v>
      </c>
      <c r="C30" s="17" t="s">
        <v>236</v>
      </c>
      <c r="D30" s="17" t="s">
        <v>57</v>
      </c>
      <c r="E30" s="1"/>
      <c r="F30" s="1"/>
      <c r="G30" s="1"/>
      <c r="H30" s="1"/>
      <c r="I30" s="7"/>
      <c r="J30" s="7"/>
      <c r="K30" s="1"/>
      <c r="L30" s="1"/>
      <c r="M30" s="7"/>
      <c r="N30" s="7"/>
      <c r="O30" s="56"/>
      <c r="P30" s="6" t="str">
        <f aca="false">IF(M30="","",M30&amp;"|"&amp;N30)</f>
        <v/>
      </c>
      <c r="Q30" s="1"/>
      <c r="R30" s="1"/>
      <c r="S30" s="1"/>
    </row>
    <row r="31" customFormat="false" ht="15" hidden="false" customHeight="false" outlineLevel="0" collapsed="false">
      <c r="A31" s="6" t="s">
        <v>237</v>
      </c>
      <c r="B31" s="18" t="n">
        <v>100</v>
      </c>
      <c r="C31" s="18" t="n">
        <v>40</v>
      </c>
      <c r="D31" s="18" t="n">
        <v>80</v>
      </c>
      <c r="E31" s="1"/>
      <c r="F31" s="1"/>
      <c r="G31" s="1"/>
      <c r="H31" s="1"/>
      <c r="I31" s="7"/>
      <c r="J31" s="7"/>
      <c r="K31" s="1"/>
      <c r="L31" s="1"/>
      <c r="M31" s="7"/>
      <c r="N31" s="7"/>
      <c r="O31" s="56"/>
      <c r="P31" s="6" t="str">
        <f aca="false">IF(M31="","",M31&amp;"|"&amp;N31)</f>
        <v/>
      </c>
      <c r="Q31" s="1"/>
      <c r="R31" s="1"/>
      <c r="S31" s="1"/>
    </row>
    <row r="32" customFormat="false" ht="15" hidden="false" customHeight="false" outlineLevel="0" collapsed="false">
      <c r="A32" s="6" t="s">
        <v>238</v>
      </c>
      <c r="B32" s="18" t="n">
        <v>500</v>
      </c>
      <c r="C32" s="18" t="n">
        <v>60</v>
      </c>
      <c r="D32" s="18" t="n">
        <v>160</v>
      </c>
      <c r="E32" s="1"/>
      <c r="F32" s="1"/>
      <c r="G32" s="1"/>
      <c r="H32" s="1"/>
      <c r="I32" s="7"/>
      <c r="J32" s="7"/>
      <c r="K32" s="1"/>
      <c r="L32" s="1"/>
      <c r="M32" s="7"/>
      <c r="N32" s="7"/>
      <c r="O32" s="56"/>
      <c r="P32" s="6" t="str">
        <f aca="false">IF(M32="","",M32&amp;"|"&amp;N32)</f>
        <v/>
      </c>
      <c r="Q32" s="1"/>
      <c r="R32" s="1"/>
      <c r="S32" s="1"/>
    </row>
    <row r="33" customFormat="false" ht="15" hidden="false" customHeight="false" outlineLevel="0" collapsed="false">
      <c r="A33" s="6" t="s">
        <v>239</v>
      </c>
      <c r="B33" s="18" t="n">
        <v>1000</v>
      </c>
      <c r="C33" s="18" t="n">
        <v>80</v>
      </c>
      <c r="D33" s="18" t="n">
        <v>240</v>
      </c>
      <c r="E33" s="1"/>
      <c r="F33" s="1"/>
      <c r="G33" s="1"/>
      <c r="H33" s="1"/>
      <c r="I33" s="7"/>
      <c r="J33" s="7"/>
      <c r="K33" s="1"/>
      <c r="L33" s="1"/>
      <c r="M33" s="7"/>
      <c r="N33" s="7"/>
      <c r="O33" s="56"/>
      <c r="P33" s="6" t="str">
        <f aca="false">IF(M33="","",M33&amp;"|"&amp;N33)</f>
        <v/>
      </c>
      <c r="Q33" s="1"/>
      <c r="R33" s="1"/>
      <c r="S33" s="1"/>
    </row>
    <row r="34" customFormat="false" ht="15" hidden="false" customHeight="false" outlineLevel="0" collapsed="false">
      <c r="A34" s="6" t="s">
        <v>240</v>
      </c>
      <c r="B34" s="18" t="n">
        <v>5000</v>
      </c>
      <c r="C34" s="18" t="n">
        <v>120</v>
      </c>
      <c r="D34" s="18" t="n">
        <v>360</v>
      </c>
      <c r="E34" s="1"/>
      <c r="F34" s="1"/>
      <c r="G34" s="1"/>
      <c r="H34" s="1"/>
      <c r="I34" s="7"/>
      <c r="J34" s="7"/>
      <c r="K34" s="1"/>
      <c r="L34" s="1"/>
      <c r="M34" s="7"/>
      <c r="N34" s="7"/>
      <c r="O34" s="56"/>
      <c r="P34" s="6" t="str">
        <f aca="false">IF(M34="","",M34&amp;"|"&amp;N34)</f>
        <v/>
      </c>
      <c r="Q34" s="1"/>
      <c r="R34" s="1"/>
      <c r="S34" s="1"/>
    </row>
    <row r="35" customFormat="false" ht="15" hidden="false" customHeight="false" outlineLevel="0" collapsed="false">
      <c r="A35" s="6" t="s">
        <v>241</v>
      </c>
      <c r="B35" s="18" t="n">
        <v>10000</v>
      </c>
      <c r="C35" s="18" t="n">
        <v>160</v>
      </c>
      <c r="D35" s="18" t="n">
        <v>480</v>
      </c>
      <c r="E35" s="1"/>
      <c r="F35" s="1"/>
      <c r="G35" s="1"/>
      <c r="H35" s="1"/>
      <c r="I35" s="7"/>
      <c r="J35" s="7"/>
      <c r="K35" s="1"/>
      <c r="L35" s="1"/>
      <c r="M35" s="7"/>
      <c r="N35" s="7"/>
      <c r="O35" s="56"/>
      <c r="P35" s="6" t="str">
        <f aca="false">IF(M35="","",M35&amp;"|"&amp;N35)</f>
        <v/>
      </c>
      <c r="Q35" s="1"/>
      <c r="R35" s="1"/>
      <c r="S35" s="1"/>
    </row>
    <row r="36" customFormat="false" ht="15" hidden="false" customHeight="false" outlineLevel="0" collapsed="false">
      <c r="A36" s="6" t="s">
        <v>242</v>
      </c>
      <c r="B36" s="18" t="n">
        <v>4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customFormat="false" ht="15" hidden="false" customHeight="false" outlineLevel="0" collapsed="false">
      <c r="A37" s="6" t="s">
        <v>243</v>
      </c>
      <c r="B37" s="18" t="n">
        <v>80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customFormat="false" ht="15" hidden="false" customHeight="false" outlineLevel="0" collapsed="false">
      <c r="A38" s="6" t="s">
        <v>244</v>
      </c>
      <c r="B38" s="18" t="n">
        <v>24</v>
      </c>
      <c r="C38" s="1"/>
      <c r="D38" s="1"/>
      <c r="E38" s="1"/>
      <c r="F38" s="1"/>
      <c r="G38" s="1"/>
      <c r="H38" s="1"/>
      <c r="I38" s="4" t="s">
        <v>245</v>
      </c>
      <c r="J38" s="5"/>
      <c r="K38" s="5"/>
      <c r="L38" s="5"/>
      <c r="M38" s="5"/>
      <c r="N38" s="1"/>
      <c r="O38" s="1"/>
      <c r="P38" s="1"/>
      <c r="Q38" s="1"/>
      <c r="R38" s="1"/>
      <c r="S38" s="1"/>
    </row>
    <row r="39" customFormat="false" ht="4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7" t="s">
        <v>246</v>
      </c>
      <c r="J39" s="17" t="s">
        <v>198</v>
      </c>
      <c r="K39" s="17" t="s">
        <v>207</v>
      </c>
      <c r="L39" s="17" t="s">
        <v>212</v>
      </c>
      <c r="M39" s="17" t="s">
        <v>223</v>
      </c>
      <c r="N39" s="1"/>
      <c r="O39" s="1"/>
      <c r="P39" s="1"/>
      <c r="Q39" s="1"/>
      <c r="R39" s="1"/>
      <c r="S39" s="1"/>
    </row>
    <row r="40" customFormat="false" ht="15" hidden="false" customHeight="false" outlineLevel="0" collapsed="false">
      <c r="A40" s="4" t="s">
        <v>247</v>
      </c>
      <c r="B40" s="5"/>
      <c r="C40" s="1"/>
      <c r="D40" s="1"/>
      <c r="E40" s="1"/>
      <c r="F40" s="1"/>
      <c r="G40" s="1"/>
      <c r="H40" s="1"/>
      <c r="I40" s="24" t="s">
        <v>198</v>
      </c>
      <c r="J40" s="56" t="n">
        <v>1.1</v>
      </c>
      <c r="K40" s="56" t="n">
        <v>1</v>
      </c>
      <c r="L40" s="56" t="n">
        <v>1.1</v>
      </c>
      <c r="M40" s="56" t="n">
        <v>1.2</v>
      </c>
      <c r="N40" s="1"/>
      <c r="O40" s="1"/>
      <c r="P40" s="1"/>
      <c r="Q40" s="1"/>
      <c r="R40" s="1"/>
      <c r="S40" s="1"/>
    </row>
    <row r="41" customFormat="false" ht="15" hidden="false" customHeight="false" outlineLevel="0" collapsed="false">
      <c r="A41" s="6" t="s">
        <v>248</v>
      </c>
      <c r="B41" s="14" t="n">
        <v>0.6</v>
      </c>
      <c r="C41" s="1"/>
      <c r="D41" s="1"/>
      <c r="E41" s="1"/>
      <c r="F41" s="1"/>
      <c r="G41" s="1"/>
      <c r="H41" s="1"/>
      <c r="I41" s="24" t="s">
        <v>207</v>
      </c>
      <c r="J41" s="56" t="n">
        <v>1</v>
      </c>
      <c r="K41" s="56" t="n">
        <v>0.9</v>
      </c>
      <c r="L41" s="56" t="n">
        <v>1.05</v>
      </c>
      <c r="M41" s="56" t="n">
        <v>1.2</v>
      </c>
      <c r="N41" s="1"/>
      <c r="O41" s="1"/>
      <c r="P41" s="1"/>
      <c r="Q41" s="1"/>
      <c r="R41" s="1"/>
      <c r="S41" s="1"/>
    </row>
    <row r="42" customFormat="false" ht="15" hidden="false" customHeight="false" outlineLevel="0" collapsed="false">
      <c r="A42" s="6" t="s">
        <v>249</v>
      </c>
      <c r="B42" s="14" t="n">
        <v>0.4</v>
      </c>
      <c r="C42" s="1"/>
      <c r="D42" s="1"/>
      <c r="E42" s="1"/>
      <c r="F42" s="1"/>
      <c r="G42" s="1"/>
      <c r="H42" s="1"/>
      <c r="I42" s="24" t="s">
        <v>212</v>
      </c>
      <c r="J42" s="56" t="n">
        <v>1.1</v>
      </c>
      <c r="K42" s="56" t="n">
        <v>1</v>
      </c>
      <c r="L42" s="56" t="n">
        <v>0.95</v>
      </c>
      <c r="M42" s="56" t="n">
        <v>1.1</v>
      </c>
      <c r="N42" s="1"/>
      <c r="O42" s="1"/>
      <c r="P42" s="1"/>
      <c r="Q42" s="1"/>
      <c r="R42" s="1"/>
      <c r="S42" s="1"/>
    </row>
    <row r="43" customFormat="false" ht="15" hidden="false" customHeight="false" outlineLevel="0" collapsed="false">
      <c r="A43" s="6" t="s">
        <v>250</v>
      </c>
      <c r="B43" s="14" t="n">
        <v>0.6</v>
      </c>
      <c r="C43" s="1"/>
      <c r="D43" s="1"/>
      <c r="E43" s="1"/>
      <c r="F43" s="1"/>
      <c r="G43" s="1"/>
      <c r="H43" s="1"/>
      <c r="I43" s="24" t="s">
        <v>223</v>
      </c>
      <c r="J43" s="56" t="n">
        <v>1</v>
      </c>
      <c r="K43" s="56" t="n">
        <v>1</v>
      </c>
      <c r="L43" s="56" t="n">
        <v>1</v>
      </c>
      <c r="M43" s="56" t="n">
        <v>1</v>
      </c>
      <c r="N43" s="1"/>
      <c r="O43" s="1"/>
      <c r="P43" s="1"/>
      <c r="Q43" s="1"/>
      <c r="R43" s="1"/>
      <c r="S43" s="1"/>
    </row>
    <row r="44" customFormat="false" ht="15" hidden="false" customHeight="false" outlineLevel="0" collapsed="false">
      <c r="A44" s="6" t="s">
        <v>251</v>
      </c>
      <c r="B44" s="14" t="n">
        <v>0.3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customFormat="false" ht="15" hidden="false" customHeight="false" outlineLevel="0" collapsed="false">
      <c r="A45" s="6" t="s">
        <v>252</v>
      </c>
      <c r="B45" s="14" t="n">
        <v>0.2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customFormat="false" ht="15" hidden="false" customHeight="false" outlineLevel="0" collapsed="false">
      <c r="A46" s="6" t="s">
        <v>253</v>
      </c>
      <c r="B46" s="14" t="n">
        <v>0.6</v>
      </c>
      <c r="C46" s="1"/>
      <c r="D46" s="1"/>
      <c r="E46" s="1"/>
      <c r="F46" s="1"/>
      <c r="G46" s="1"/>
      <c r="H46" s="1"/>
      <c r="I46" s="4" t="s">
        <v>254</v>
      </c>
      <c r="J46" s="5"/>
      <c r="K46" s="5"/>
      <c r="L46" s="5"/>
      <c r="M46" s="5"/>
      <c r="N46" s="1"/>
      <c r="O46" s="1"/>
      <c r="P46" s="1"/>
      <c r="Q46" s="1"/>
      <c r="R46" s="1"/>
      <c r="S46" s="1"/>
    </row>
    <row r="47" customFormat="false" ht="4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7" t="s">
        <v>246</v>
      </c>
      <c r="J47" s="17" t="s">
        <v>198</v>
      </c>
      <c r="K47" s="17" t="s">
        <v>207</v>
      </c>
      <c r="L47" s="17" t="s">
        <v>212</v>
      </c>
      <c r="M47" s="17" t="s">
        <v>223</v>
      </c>
      <c r="N47" s="1"/>
      <c r="O47" s="1"/>
      <c r="P47" s="1"/>
      <c r="Q47" s="1"/>
      <c r="R47" s="1"/>
      <c r="S47" s="1"/>
    </row>
    <row r="48" customFormat="false" ht="15" hidden="false" customHeight="false" outlineLevel="0" collapsed="false">
      <c r="A48" s="4" t="s">
        <v>255</v>
      </c>
      <c r="B48" s="5"/>
      <c r="C48" s="1"/>
      <c r="D48" s="1"/>
      <c r="E48" s="1"/>
      <c r="F48" s="1"/>
      <c r="G48" s="1"/>
      <c r="H48" s="1"/>
      <c r="I48" s="24" t="s">
        <v>198</v>
      </c>
      <c r="J48" s="14" t="n">
        <v>1</v>
      </c>
      <c r="K48" s="14" t="n">
        <v>1</v>
      </c>
      <c r="L48" s="14" t="n">
        <v>1</v>
      </c>
      <c r="M48" s="14" t="n">
        <v>1</v>
      </c>
      <c r="N48" s="1"/>
      <c r="O48" s="1"/>
      <c r="P48" s="1"/>
      <c r="Q48" s="1"/>
      <c r="R48" s="1"/>
      <c r="S48" s="1"/>
    </row>
    <row r="49" customFormat="false" ht="15" hidden="false" customHeight="false" outlineLevel="0" collapsed="false">
      <c r="A49" s="6" t="s">
        <v>256</v>
      </c>
      <c r="B49" s="14" t="n">
        <v>0.15</v>
      </c>
      <c r="C49" s="1"/>
      <c r="D49" s="1"/>
      <c r="E49" s="1"/>
      <c r="F49" s="1"/>
      <c r="G49" s="1"/>
      <c r="H49" s="1"/>
      <c r="I49" s="24" t="s">
        <v>207</v>
      </c>
      <c r="J49" s="14" t="n">
        <v>0.3</v>
      </c>
      <c r="K49" s="14" t="n">
        <v>0.3</v>
      </c>
      <c r="L49" s="14" t="n">
        <v>0.3</v>
      </c>
      <c r="M49" s="14" t="n">
        <v>1</v>
      </c>
      <c r="N49" s="1"/>
      <c r="O49" s="1"/>
      <c r="P49" s="1"/>
      <c r="Q49" s="1"/>
      <c r="R49" s="1"/>
      <c r="S49" s="1"/>
    </row>
    <row r="50" customFormat="false" ht="15" hidden="false" customHeight="false" outlineLevel="0" collapsed="false">
      <c r="A50" s="6" t="s">
        <v>257</v>
      </c>
      <c r="B50" s="7" t="n">
        <v>1</v>
      </c>
      <c r="C50" s="1"/>
      <c r="D50" s="1"/>
      <c r="E50" s="1"/>
      <c r="F50" s="1"/>
      <c r="G50" s="1"/>
      <c r="H50" s="1"/>
      <c r="I50" s="24" t="s">
        <v>212</v>
      </c>
      <c r="J50" s="14" t="n">
        <v>1</v>
      </c>
      <c r="K50" s="14" t="n">
        <v>0.3</v>
      </c>
      <c r="L50" s="14" t="n">
        <v>0.4</v>
      </c>
      <c r="M50" s="14" t="n">
        <v>1</v>
      </c>
      <c r="N50" s="1"/>
      <c r="O50" s="1"/>
      <c r="P50" s="1"/>
      <c r="Q50" s="1"/>
      <c r="R50" s="1"/>
      <c r="S50" s="1"/>
    </row>
    <row r="51" customFormat="false" ht="15" hidden="false" customHeight="false" outlineLevel="0" collapsed="false">
      <c r="A51" s="6" t="s">
        <v>258</v>
      </c>
      <c r="B51" s="7" t="n">
        <v>2</v>
      </c>
      <c r="C51" s="1"/>
      <c r="D51" s="1"/>
      <c r="E51" s="1"/>
      <c r="F51" s="1"/>
      <c r="G51" s="1"/>
      <c r="H51" s="1"/>
      <c r="I51" s="24" t="s">
        <v>223</v>
      </c>
      <c r="J51" s="14" t="n">
        <v>0.4</v>
      </c>
      <c r="K51" s="14" t="n">
        <v>0.3</v>
      </c>
      <c r="L51" s="14" t="n">
        <v>0.4</v>
      </c>
      <c r="M51" s="14" t="n">
        <v>0.4</v>
      </c>
      <c r="N51" s="1"/>
      <c r="O51" s="1"/>
      <c r="P51" s="1"/>
      <c r="Q51" s="1"/>
      <c r="R51" s="1"/>
      <c r="S51" s="1"/>
    </row>
    <row r="52" customFormat="false" ht="15" hidden="false" customHeight="false" outlineLevel="0" collapsed="false">
      <c r="A52" s="6" t="s">
        <v>259</v>
      </c>
      <c r="B52" s="18" t="n">
        <v>150</v>
      </c>
      <c r="C52" s="1"/>
      <c r="D52" s="1"/>
      <c r="E52" s="1"/>
      <c r="F52" s="1"/>
      <c r="G52" s="1"/>
      <c r="H52" s="1"/>
      <c r="I52" s="3" t="s">
        <v>260</v>
      </c>
      <c r="J52" s="1"/>
      <c r="K52" s="1"/>
      <c r="L52" s="1"/>
      <c r="M52" s="1"/>
      <c r="N52" s="1"/>
      <c r="O52" s="1"/>
      <c r="P52" s="1"/>
      <c r="Q52" s="1"/>
      <c r="R52" s="1"/>
      <c r="S52" s="1"/>
    </row>
    <row r="53" customFormat="false" ht="15" hidden="false" customHeight="false" outlineLevel="0" collapsed="false">
      <c r="A53" s="6" t="s">
        <v>261</v>
      </c>
      <c r="B53" s="7" t="n">
        <v>1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customFormat="false" ht="15" hidden="false" customHeight="false" outlineLevel="0" collapsed="false">
      <c r="A54" s="6" t="s">
        <v>262</v>
      </c>
      <c r="B54" s="7" t="n">
        <v>1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customFormat="false" ht="15" hidden="false" customHeight="false" outlineLevel="0" collapsed="false">
      <c r="A55" s="6" t="s">
        <v>263</v>
      </c>
      <c r="B55" s="7" t="n">
        <v>1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customFormat="false" ht="15" hidden="false" customHeight="false" outlineLevel="0" collapsed="false">
      <c r="A56" s="6" t="s">
        <v>264</v>
      </c>
      <c r="B56" s="7" t="n">
        <v>2</v>
      </c>
      <c r="C56" s="1"/>
      <c r="D56" s="1"/>
      <c r="E56" s="1"/>
      <c r="F56" s="1"/>
      <c r="G56" s="1"/>
      <c r="H56" s="1"/>
      <c r="I56" s="4" t="s">
        <v>265</v>
      </c>
      <c r="J56" s="5"/>
      <c r="K56" s="5"/>
      <c r="L56" s="5"/>
      <c r="M56" s="1"/>
      <c r="N56" s="1"/>
      <c r="O56" s="1"/>
      <c r="P56" s="1"/>
      <c r="Q56" s="1"/>
      <c r="R56" s="1"/>
      <c r="S56" s="1"/>
    </row>
    <row r="57" customFormat="false" ht="31.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7" t="s">
        <v>266</v>
      </c>
      <c r="J57" s="17" t="s">
        <v>267</v>
      </c>
      <c r="K57" s="17" t="s">
        <v>268</v>
      </c>
      <c r="L57" s="17" t="s">
        <v>193</v>
      </c>
      <c r="M57" s="1"/>
      <c r="N57" s="1"/>
      <c r="O57" s="1"/>
      <c r="P57" s="1"/>
      <c r="Q57" s="1"/>
      <c r="R57" s="1"/>
      <c r="S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6" t="s">
        <v>269</v>
      </c>
      <c r="J58" s="6" t="s">
        <v>270</v>
      </c>
      <c r="K58" s="51" t="n">
        <v>87</v>
      </c>
      <c r="L58" s="6" t="str">
        <f aca="false">I58&amp;" | "&amp;J58</f>
        <v>MSE II | G13 | India</v>
      </c>
      <c r="M58" s="1"/>
      <c r="N58" s="1"/>
      <c r="O58" s="1"/>
      <c r="P58" s="1"/>
      <c r="Q58" s="1"/>
      <c r="R58" s="1"/>
      <c r="S58" s="1"/>
    </row>
    <row r="59" customFormat="false" ht="15" hidden="false" customHeight="false" outlineLevel="0" collapsed="false">
      <c r="A59" s="4" t="s">
        <v>271</v>
      </c>
      <c r="B59" s="5"/>
      <c r="C59" s="5"/>
      <c r="D59" s="5"/>
      <c r="E59" s="5"/>
      <c r="F59" s="5"/>
      <c r="G59" s="5"/>
      <c r="H59" s="5"/>
      <c r="I59" s="6" t="s">
        <v>272</v>
      </c>
      <c r="J59" s="6" t="s">
        <v>273</v>
      </c>
      <c r="K59" s="51" t="n">
        <v>82</v>
      </c>
      <c r="L59" s="6" t="str">
        <f aca="false">I59&amp;" | "&amp;J59</f>
        <v>MSE I | G12 | India</v>
      </c>
      <c r="M59" s="1"/>
      <c r="N59" s="1"/>
      <c r="O59" s="1"/>
      <c r="P59" s="1"/>
      <c r="Q59" s="1"/>
      <c r="R59" s="1"/>
      <c r="S59" s="1"/>
    </row>
    <row r="60" customFormat="false" ht="36" hidden="false" customHeight="true" outlineLevel="0" collapsed="false">
      <c r="A60" s="17" t="s">
        <v>67</v>
      </c>
      <c r="B60" s="17" t="s">
        <v>174</v>
      </c>
      <c r="C60" s="17" t="s">
        <v>175</v>
      </c>
      <c r="D60" s="17" t="s">
        <v>176</v>
      </c>
      <c r="E60" s="17" t="s">
        <v>177</v>
      </c>
      <c r="F60" s="17" t="s">
        <v>178</v>
      </c>
      <c r="G60" s="17" t="s">
        <v>179</v>
      </c>
      <c r="H60" s="17" t="s">
        <v>65</v>
      </c>
      <c r="I60" s="6" t="s">
        <v>274</v>
      </c>
      <c r="J60" s="6" t="s">
        <v>273</v>
      </c>
      <c r="K60" s="51" t="n">
        <v>70</v>
      </c>
      <c r="L60" s="6" t="str">
        <f aca="false">I60&amp;" | "&amp;J60</f>
        <v>Architect II | G12 | India</v>
      </c>
      <c r="M60" s="1"/>
      <c r="N60" s="1"/>
      <c r="O60" s="1"/>
      <c r="P60" s="1"/>
      <c r="Q60" s="1"/>
      <c r="R60" s="1"/>
      <c r="S60" s="1"/>
    </row>
    <row r="61" customFormat="false" ht="15" hidden="false" customHeight="false" outlineLevel="0" collapsed="false">
      <c r="A61" s="6" t="s">
        <v>74</v>
      </c>
      <c r="B61" s="14" t="n">
        <v>0.5</v>
      </c>
      <c r="C61" s="14" t="n">
        <v>0.5</v>
      </c>
      <c r="D61" s="14" t="n">
        <v>0</v>
      </c>
      <c r="E61" s="14" t="n">
        <v>0</v>
      </c>
      <c r="F61" s="14" t="n">
        <v>0</v>
      </c>
      <c r="G61" s="14" t="n">
        <v>0</v>
      </c>
      <c r="H61" s="59" t="n">
        <f aca="false">SUM(B61:G61)</f>
        <v>1</v>
      </c>
      <c r="I61" s="6" t="s">
        <v>275</v>
      </c>
      <c r="J61" s="6" t="s">
        <v>276</v>
      </c>
      <c r="K61" s="51" t="n">
        <v>65</v>
      </c>
      <c r="L61" s="6" t="str">
        <f aca="false">I61&amp;" | "&amp;J61</f>
        <v>Architect I | G11 | India</v>
      </c>
      <c r="M61" s="1"/>
      <c r="N61" s="1"/>
      <c r="O61" s="1"/>
      <c r="P61" s="1"/>
      <c r="Q61" s="1"/>
      <c r="R61" s="1"/>
      <c r="S61" s="1"/>
    </row>
    <row r="62" customFormat="false" ht="15" hidden="false" customHeight="false" outlineLevel="0" collapsed="false">
      <c r="A62" s="6" t="s">
        <v>76</v>
      </c>
      <c r="B62" s="14" t="n">
        <v>0.1</v>
      </c>
      <c r="C62" s="14" t="n">
        <v>0.15</v>
      </c>
      <c r="D62" s="14" t="n">
        <v>0.35</v>
      </c>
      <c r="E62" s="14" t="n">
        <v>0.4</v>
      </c>
      <c r="F62" s="14" t="n">
        <v>0</v>
      </c>
      <c r="G62" s="14" t="n">
        <v>0</v>
      </c>
      <c r="H62" s="59" t="n">
        <f aca="false">SUM(B62:G62)</f>
        <v>1</v>
      </c>
      <c r="I62" s="6" t="s">
        <v>277</v>
      </c>
      <c r="J62" s="6" t="s">
        <v>276</v>
      </c>
      <c r="K62" s="51" t="n">
        <v>70</v>
      </c>
      <c r="L62" s="6" t="str">
        <f aca="false">I62&amp;" | "&amp;J62</f>
        <v>Lead II | G11 | India</v>
      </c>
      <c r="M62" s="1"/>
      <c r="N62" s="1"/>
      <c r="O62" s="1"/>
      <c r="P62" s="1"/>
      <c r="Q62" s="1"/>
      <c r="R62" s="1"/>
      <c r="S62" s="1"/>
    </row>
    <row r="63" customFormat="false" ht="15" hidden="false" customHeight="false" outlineLevel="0" collapsed="false">
      <c r="A63" s="6" t="s">
        <v>78</v>
      </c>
      <c r="B63" s="14" t="n">
        <v>0</v>
      </c>
      <c r="C63" s="14" t="n">
        <v>0</v>
      </c>
      <c r="D63" s="14" t="n">
        <v>0</v>
      </c>
      <c r="E63" s="14" t="n">
        <v>0</v>
      </c>
      <c r="F63" s="14" t="n">
        <v>1</v>
      </c>
      <c r="G63" s="14" t="n">
        <v>0</v>
      </c>
      <c r="H63" s="59" t="n">
        <f aca="false">SUM(B63:G63)</f>
        <v>1</v>
      </c>
      <c r="I63" s="6" t="s">
        <v>277</v>
      </c>
      <c r="J63" s="6" t="s">
        <v>278</v>
      </c>
      <c r="K63" s="51" t="n">
        <v>70</v>
      </c>
      <c r="L63" s="6" t="str">
        <f aca="false">I63&amp;" | "&amp;J63</f>
        <v>Lead II | G10 | India</v>
      </c>
      <c r="M63" s="1"/>
      <c r="N63" s="1"/>
      <c r="O63" s="1"/>
      <c r="P63" s="1"/>
      <c r="Q63" s="1"/>
      <c r="R63" s="1"/>
      <c r="S63" s="1"/>
    </row>
    <row r="64" customFormat="false" ht="15" hidden="false" customHeight="false" outlineLevel="0" collapsed="false">
      <c r="A64" s="6" t="s">
        <v>80</v>
      </c>
      <c r="B64" s="14" t="n">
        <v>0</v>
      </c>
      <c r="C64" s="14" t="n">
        <v>0.3</v>
      </c>
      <c r="D64" s="14" t="n">
        <v>0.7</v>
      </c>
      <c r="E64" s="14" t="n">
        <v>0</v>
      </c>
      <c r="F64" s="14" t="n">
        <v>0</v>
      </c>
      <c r="G64" s="14" t="n">
        <v>0</v>
      </c>
      <c r="H64" s="59" t="n">
        <f aca="false">SUM(B64:G64)</f>
        <v>1</v>
      </c>
      <c r="I64" s="6" t="s">
        <v>279</v>
      </c>
      <c r="J64" s="6" t="s">
        <v>278</v>
      </c>
      <c r="K64" s="51" t="n">
        <v>62</v>
      </c>
      <c r="L64" s="6" t="str">
        <f aca="false">I64&amp;" | "&amp;J64</f>
        <v>Lead I | G10 | India</v>
      </c>
      <c r="M64" s="1"/>
      <c r="N64" s="1"/>
      <c r="O64" s="1"/>
      <c r="P64" s="1"/>
      <c r="Q64" s="1"/>
      <c r="R64" s="1"/>
      <c r="S64" s="1"/>
    </row>
    <row r="65" customFormat="false" ht="15" hidden="false" customHeight="false" outlineLevel="0" collapsed="false">
      <c r="A65" s="6" t="s">
        <v>82</v>
      </c>
      <c r="B65" s="14" t="n">
        <v>0</v>
      </c>
      <c r="C65" s="14" t="n">
        <v>0</v>
      </c>
      <c r="D65" s="14" t="n">
        <v>1</v>
      </c>
      <c r="E65" s="14" t="n">
        <v>0</v>
      </c>
      <c r="F65" s="14" t="n">
        <v>0</v>
      </c>
      <c r="G65" s="14" t="n">
        <v>0</v>
      </c>
      <c r="H65" s="59" t="n">
        <f aca="false">SUM(B65:G65)</f>
        <v>1</v>
      </c>
      <c r="I65" s="6" t="s">
        <v>279</v>
      </c>
      <c r="J65" s="6" t="s">
        <v>280</v>
      </c>
      <c r="K65" s="51" t="n">
        <v>62</v>
      </c>
      <c r="L65" s="6" t="str">
        <f aca="false">I65&amp;" | "&amp;J65</f>
        <v>Lead I | G9 | India</v>
      </c>
      <c r="M65" s="1"/>
      <c r="N65" s="1"/>
      <c r="O65" s="1"/>
      <c r="P65" s="1"/>
      <c r="Q65" s="1"/>
      <c r="R65" s="1"/>
      <c r="S65" s="1"/>
    </row>
    <row r="66" customFormat="false" ht="15" hidden="false" customHeight="false" outlineLevel="0" collapsed="false">
      <c r="A66" s="6" t="s">
        <v>84</v>
      </c>
      <c r="B66" s="14" t="n">
        <v>0</v>
      </c>
      <c r="C66" s="14" t="n">
        <v>0.5</v>
      </c>
      <c r="D66" s="14" t="n">
        <v>0.5</v>
      </c>
      <c r="E66" s="14" t="n">
        <v>0</v>
      </c>
      <c r="F66" s="14" t="n">
        <v>0</v>
      </c>
      <c r="G66" s="14" t="n">
        <v>0</v>
      </c>
      <c r="H66" s="59" t="n">
        <f aca="false">SUM(B66:G66)</f>
        <v>1</v>
      </c>
      <c r="I66" s="6" t="s">
        <v>281</v>
      </c>
      <c r="J66" s="6" t="s">
        <v>278</v>
      </c>
      <c r="K66" s="51" t="n">
        <v>62</v>
      </c>
      <c r="L66" s="6" t="str">
        <f aca="false">I66&amp;" | "&amp;J66</f>
        <v>Sr. Engineer II | G10 | India</v>
      </c>
      <c r="M66" s="1"/>
      <c r="N66" s="1"/>
      <c r="O66" s="1"/>
      <c r="P66" s="1"/>
      <c r="Q66" s="1"/>
      <c r="R66" s="1"/>
      <c r="S66" s="1"/>
    </row>
    <row r="67" customFormat="false" ht="15" hidden="false" customHeight="false" outlineLevel="0" collapsed="false">
      <c r="A67" s="6" t="s">
        <v>86</v>
      </c>
      <c r="B67" s="14" t="n">
        <v>0</v>
      </c>
      <c r="C67" s="14" t="n">
        <v>0</v>
      </c>
      <c r="D67" s="14" t="n">
        <v>0</v>
      </c>
      <c r="E67" s="14" t="n">
        <v>0</v>
      </c>
      <c r="F67" s="14" t="n">
        <v>0</v>
      </c>
      <c r="G67" s="14" t="n">
        <v>1</v>
      </c>
      <c r="H67" s="59" t="n">
        <f aca="false">SUM(B67:G67)</f>
        <v>1</v>
      </c>
      <c r="I67" s="6" t="s">
        <v>281</v>
      </c>
      <c r="J67" s="6" t="s">
        <v>280</v>
      </c>
      <c r="K67" s="51" t="n">
        <v>62</v>
      </c>
      <c r="L67" s="6" t="str">
        <f aca="false">I67&amp;" | "&amp;J67</f>
        <v>Sr. Engineer II | G9 | India</v>
      </c>
      <c r="M67" s="1"/>
      <c r="N67" s="1"/>
      <c r="O67" s="1"/>
      <c r="P67" s="1"/>
      <c r="Q67" s="1"/>
      <c r="R67" s="1"/>
      <c r="S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6" t="s">
        <v>282</v>
      </c>
      <c r="J68" s="6" t="s">
        <v>280</v>
      </c>
      <c r="K68" s="51" t="n">
        <v>57.5</v>
      </c>
      <c r="L68" s="6" t="str">
        <f aca="false">I68&amp;" | "&amp;J68</f>
        <v>Sr. Engineer I | G9 | India</v>
      </c>
      <c r="M68" s="1"/>
      <c r="N68" s="1"/>
      <c r="O68" s="1"/>
      <c r="P68" s="1"/>
      <c r="Q68" s="1"/>
      <c r="R68" s="1"/>
      <c r="S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6" t="s">
        <v>282</v>
      </c>
      <c r="J69" s="6" t="s">
        <v>283</v>
      </c>
      <c r="K69" s="51" t="n">
        <v>57.5</v>
      </c>
      <c r="L69" s="6" t="str">
        <f aca="false">I69&amp;" | "&amp;J69</f>
        <v>Sr. Engineer I | G8 | India</v>
      </c>
      <c r="M69" s="1"/>
      <c r="N69" s="1"/>
      <c r="O69" s="1"/>
      <c r="P69" s="1"/>
      <c r="Q69" s="1"/>
      <c r="R69" s="1"/>
      <c r="S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6" t="s">
        <v>284</v>
      </c>
      <c r="J70" s="6" t="s">
        <v>283</v>
      </c>
      <c r="K70" s="51" t="n">
        <v>50</v>
      </c>
      <c r="L70" s="6" t="str">
        <f aca="false">I70&amp;" | "&amp;J70</f>
        <v>Engineer II | G8 | India</v>
      </c>
      <c r="M70" s="1"/>
      <c r="N70" s="1"/>
      <c r="O70" s="1"/>
      <c r="P70" s="1"/>
      <c r="Q70" s="1"/>
      <c r="R70" s="1"/>
      <c r="S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6" t="s">
        <v>284</v>
      </c>
      <c r="J71" s="6" t="s">
        <v>285</v>
      </c>
      <c r="K71" s="51" t="n">
        <v>50</v>
      </c>
      <c r="L71" s="6" t="str">
        <f aca="false">I71&amp;" | "&amp;J71</f>
        <v>Engineer II | G6 | India</v>
      </c>
      <c r="M71" s="1"/>
      <c r="N71" s="1"/>
      <c r="O71" s="1"/>
      <c r="P71" s="1"/>
      <c r="Q71" s="1"/>
      <c r="R71" s="1"/>
      <c r="S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6" t="s">
        <v>286</v>
      </c>
      <c r="J72" s="6" t="s">
        <v>285</v>
      </c>
      <c r="K72" s="51" t="n">
        <v>42</v>
      </c>
      <c r="L72" s="6" t="str">
        <f aca="false">I72&amp;" | "&amp;J72</f>
        <v>Engineer I | G6 | India</v>
      </c>
      <c r="M72" s="1"/>
      <c r="N72" s="1"/>
      <c r="O72" s="1"/>
      <c r="P72" s="1"/>
      <c r="Q72" s="1"/>
      <c r="R72" s="1"/>
      <c r="S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6" t="s">
        <v>286</v>
      </c>
      <c r="J73" s="6" t="s">
        <v>287</v>
      </c>
      <c r="K73" s="51" t="n">
        <v>42</v>
      </c>
      <c r="L73" s="6" t="str">
        <f aca="false">I73&amp;" | "&amp;J73</f>
        <v>Engineer I | G4 | India</v>
      </c>
      <c r="M73" s="1"/>
      <c r="N73" s="1"/>
      <c r="O73" s="1"/>
      <c r="P73" s="1"/>
      <c r="Q73" s="1"/>
      <c r="R73" s="1"/>
      <c r="S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6" t="s">
        <v>288</v>
      </c>
      <c r="J74" s="6" t="s">
        <v>287</v>
      </c>
      <c r="K74" s="51" t="n">
        <v>35</v>
      </c>
      <c r="L74" s="6" t="str">
        <f aca="false">I74&amp;" | "&amp;J74</f>
        <v>Jr. Engineer | G4 | India</v>
      </c>
      <c r="M74" s="1"/>
      <c r="N74" s="1"/>
      <c r="O74" s="1"/>
      <c r="P74" s="1"/>
      <c r="Q74" s="1"/>
      <c r="R74" s="1"/>
      <c r="S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6" t="s">
        <v>274</v>
      </c>
      <c r="J75" s="6" t="s">
        <v>276</v>
      </c>
      <c r="K75" s="51" t="n">
        <v>70</v>
      </c>
      <c r="L75" s="6" t="str">
        <f aca="false">I75&amp;" | "&amp;J75</f>
        <v>Architect II | G11 | India</v>
      </c>
      <c r="M75" s="1"/>
      <c r="N75" s="1"/>
      <c r="O75" s="1"/>
      <c r="P75" s="1"/>
      <c r="Q75" s="1"/>
      <c r="R75" s="1"/>
      <c r="S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6" t="s">
        <v>289</v>
      </c>
      <c r="J76" s="6" t="s">
        <v>270</v>
      </c>
      <c r="K76" s="51" t="n">
        <v>87</v>
      </c>
      <c r="L76" s="6" t="str">
        <f aca="false">I76&amp;" | "&amp;J76</f>
        <v>Sr. Architect I | G13 | India</v>
      </c>
      <c r="M76" s="1"/>
      <c r="N76" s="1"/>
      <c r="O76" s="1"/>
      <c r="P76" s="1"/>
      <c r="Q76" s="1"/>
      <c r="R76" s="1"/>
      <c r="S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6" t="s">
        <v>290</v>
      </c>
      <c r="J77" s="6" t="s">
        <v>291</v>
      </c>
      <c r="K77" s="51" t="n">
        <v>105</v>
      </c>
      <c r="L77" s="6" t="str">
        <f aca="false">I77&amp;" | "&amp;J77</f>
        <v>Sr. Architect II | G14 | India</v>
      </c>
      <c r="M77" s="1"/>
      <c r="N77" s="1"/>
      <c r="O77" s="1"/>
      <c r="P77" s="1"/>
      <c r="Q77" s="1"/>
      <c r="R77" s="1"/>
      <c r="S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6" t="s">
        <v>290</v>
      </c>
      <c r="J78" s="6" t="s">
        <v>270</v>
      </c>
      <c r="K78" s="51" t="n">
        <v>105</v>
      </c>
      <c r="L78" s="6" t="str">
        <f aca="false">I78&amp;" | "&amp;J78</f>
        <v>Sr. Architect II | G13 | India</v>
      </c>
      <c r="M78" s="1"/>
      <c r="N78" s="1"/>
      <c r="O78" s="1"/>
      <c r="P78" s="1"/>
      <c r="Q78" s="1"/>
      <c r="R78" s="1"/>
      <c r="S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6" t="s">
        <v>274</v>
      </c>
      <c r="J79" s="6" t="s">
        <v>292</v>
      </c>
      <c r="K79" s="51" t="n">
        <v>185</v>
      </c>
      <c r="L79" s="6" t="str">
        <f aca="false">I79&amp;" | "&amp;J79</f>
        <v>Architect II | G12 | USA</v>
      </c>
      <c r="M79" s="1"/>
      <c r="N79" s="1"/>
      <c r="O79" s="1"/>
      <c r="P79" s="1"/>
      <c r="Q79" s="1"/>
      <c r="R79" s="1"/>
      <c r="S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6" t="s">
        <v>272</v>
      </c>
      <c r="J80" s="6" t="s">
        <v>292</v>
      </c>
      <c r="K80" s="51" t="n">
        <v>190</v>
      </c>
      <c r="L80" s="6" t="str">
        <f aca="false">I80&amp;" | "&amp;J80</f>
        <v>MSE I | G12 | USA</v>
      </c>
      <c r="M80" s="1"/>
      <c r="N80" s="1"/>
      <c r="O80" s="1"/>
      <c r="P80" s="1"/>
      <c r="Q80" s="1"/>
      <c r="R80" s="1"/>
      <c r="S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6" t="s">
        <v>269</v>
      </c>
      <c r="J81" s="6" t="s">
        <v>293</v>
      </c>
      <c r="K81" s="51" t="n">
        <v>210</v>
      </c>
      <c r="L81" s="6" t="str">
        <f aca="false">I81&amp;" | "&amp;J81</f>
        <v>MSE II | G13 | USA</v>
      </c>
      <c r="M81" s="1"/>
      <c r="N81" s="1"/>
      <c r="O81" s="1"/>
      <c r="P81" s="1"/>
      <c r="Q81" s="1"/>
      <c r="R81" s="1"/>
      <c r="S81" s="1"/>
    </row>
  </sheetData>
  <sheetProtection sheet="true" formatColumns="false" formatRows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2026-10-13T13:33:31Z</dcterms:created>
  <dc:creator>openpyxl</dc:creator>
  <dc:description/>
  <dc:language>en-US</dc:language>
  <cp:lastModifiedBy/>
  <dcterms:modified xsi:type="dcterms:W3CDTF">2026-10-13T13:33:31Z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