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uide" sheetId="1" state="visible" r:id="rId3"/>
    <sheet name="Summary" sheetId="2" state="visible" r:id="rId4"/>
    <sheet name="Setup" sheetId="3" state="visible" r:id="rId5"/>
    <sheet name="Scope" sheetId="4" state="visible" r:id="rId6"/>
    <sheet name="Risks" sheetId="5" state="visible" r:id="rId7"/>
    <sheet name="Roles" sheetId="6" state="visible" r:id="rId8"/>
    <sheet name="Rates" sheetId="7" state="visible" r:id="rId9"/>
    <sheet name="Lists" sheetId="8" state="visible" r:id="rId10"/>
    <sheet name="Baseline" sheetId="9" state="visible" r:id="rId11"/>
    <sheet name="Effort" sheetId="10" state="visible" r:id="rId12"/>
    <sheet name="Schedule" sheetId="11" state="visible" r:id="rId13"/>
    <sheet name="Plan" sheetId="12" state="visible" r:id="rId14"/>
    <sheet name="Cost" sheetId="13" state="visible" r:id="rId15"/>
    <sheet name="Assumptions" sheetId="14" state="visible" r:id="rId16"/>
    <sheet name="Checks" sheetId="15" state="visible" r:id="rId17"/>
    <sheet name="Scenarios" sheetId="16" state="visible" r:id="rId18"/>
    <sheet name="ChangeLog" sheetId="17" state="visible" r:id="rId19"/>
  </sheets>
  <definedNames>
    <definedName function="false" hidden="false" name="ActivePairs" vbProcedure="false">Effort!$C$27</definedName>
    <definedName function="false" hidden="false" name="AIHrs" vbProcedure="false">Baseline!$B$52:$B$54</definedName>
    <definedName function="false" hidden="false" name="AIHrsTotal" vbProcedure="false">Effort!$AI$27</definedName>
    <definedName function="false" hidden="false" name="AINames" vbProcedure="false">Baseline!$A$52:$A$54</definedName>
    <definedName function="false" hidden="false" name="AnaHrs" vbProcedure="false">Effort!$AG$27</definedName>
    <definedName function="false" hidden="false" name="AnchorAnalysis" vbProcedure="false">Baseline!$D$35:$D$39</definedName>
    <definedName function="false" hidden="false" name="AnchorInit" vbProcedure="false">Baseline!$C$35:$C$39</definedName>
    <definedName function="false" hidden="false" name="AnchorPages" vbProcedure="false">Baseline!$B$35:$B$39</definedName>
    <definedName function="false" hidden="false" name="ApproachMatrix" vbProcedure="false">Lists!$G$14:$J$17</definedName>
    <definedName function="false" hidden="false" name="ApproachNames" vbProcedure="false">Baseline!$A$28:$A$31</definedName>
    <definedName function="false" hidden="false" name="ApproachShares" vbProcedure="false">Baseline!$B$28:$B$31</definedName>
    <definedName function="false" hidden="false" name="ArchEnd" vbProcedure="false">Schedule!$C$8</definedName>
    <definedName function="false" hidden="false" name="ArchFactor" vbProcedure="false">Lists!$G$6:$J$9</definedName>
    <definedName function="false" hidden="false" name="ArchNames" vbProcedure="false">Lists!$D$6:$D$9</definedName>
    <definedName function="false" hidden="false" name="ArchOverlap" vbProcedure="false">Setup!$C$25</definedName>
    <definedName function="false" hidden="false" name="ArchPerPair" vbProcedure="false">Baseline!$B$44</definedName>
    <definedName function="false" hidden="false" name="ArchPerTool" vbProcedure="false">Baseline!$B$43</definedName>
    <definedName function="false" hidden="false" name="ArchStart" vbProcedure="false">Schedule!$C$7</definedName>
    <definedName function="false" hidden="false" name="ArchTeam" vbProcedure="false">Setup!$C$24</definedName>
    <definedName function="false" hidden="false" name="AssessEnd" vbProcedure="false">Schedule!$C$6</definedName>
    <definedName function="false" hidden="false" name="AssessLen" vbProcedure="false">Schedule!$C$5</definedName>
    <definedName function="false" hidden="false" name="AssessPerModel" vbProcedure="false">Baseline!$B$40</definedName>
    <definedName function="false" hidden="false" name="AssessTeam" vbProcedure="false">Setup!$C$23</definedName>
    <definedName function="false" hidden="false" name="AutoAssess" vbProcedure="false">Setup!$C$49</definedName>
    <definedName function="false" hidden="false" name="AutoDep" vbProcedure="false">Setup!$C$54</definedName>
    <definedName function="false" hidden="false" name="AutoRep" vbProcedure="false">Setup!$C$51</definedName>
    <definedName function="false" hidden="false" name="AutoSem" vbProcedure="false">Setup!$C$50</definedName>
    <definedName function="false" hidden="false" name="AutoSetTotal" vbProcedure="false">Effort!$AJ$27</definedName>
    <definedName function="false" hidden="false" name="AutoSetupHrs" vbProcedure="false">Baseline!$B$63</definedName>
    <definedName function="false" hidden="false" name="AutoSIT" vbProcedure="false">Setup!$C$52</definedName>
    <definedName function="false" hidden="false" name="AutoUAT" vbProcedure="false">Setup!$C$53</definedName>
    <definedName function="false" hidden="false" name="AvgDevTeam" vbProcedure="false">Plan!$D$67</definedName>
    <definedName function="false" hidden="false" name="AvgTeam" vbProcedure="false">Plan!$D$66</definedName>
    <definedName function="false" hidden="false" name="BaseCost" vbProcedure="false">Cost!$F$36</definedName>
    <definedName function="false" hidden="false" name="BlendedRate" vbProcedure="false">Setup!$C$58</definedName>
    <definedName function="false" hidden="false" name="CalendarWeeks" vbProcedure="false">Schedule!$C$40</definedName>
    <definedName function="false" hidden="false" name="CapAssess" vbProcedure="false">Baseline!$B$57</definedName>
    <definedName function="false" hidden="false" name="CapDep" vbProcedure="false">Baseline!$B$62</definedName>
    <definedName function="false" hidden="false" name="CapRep" vbProcedure="false">Baseline!$B$59</definedName>
    <definedName function="false" hidden="false" name="CapSem" vbProcedure="false">Baseline!$B$58</definedName>
    <definedName function="false" hidden="false" name="CapSIT" vbProcedure="false">Baseline!$B$60</definedName>
    <definedName function="false" hidden="false" name="CapUAT" vbProcedure="false">Baseline!$B$61</definedName>
    <definedName function="false" hidden="false" name="Client" vbProcedure="false">Setup!$C$5</definedName>
    <definedName function="false" hidden="false" name="ConfNames" vbProcedure="false">Baseline!$A$67:$A$69</definedName>
    <definedName function="false" hidden="false" name="ConfPct" vbProcedure="false">Baseline!$B$67:$B$69</definedName>
    <definedName function="false" hidden="false" name="ConsolHrs" vbProcedure="false">Baseline!$B$26</definedName>
    <definedName function="false" hidden="false" name="ContCost" vbProcedure="false">Cost!$F$38</definedName>
    <definedName function="false" hidden="false" name="ContHrs" vbProcedure="false">Effort!$C$58</definedName>
    <definedName function="false" hidden="false" name="ContHrsPairs" vbProcedure="false">Effort!$AQ$27</definedName>
    <definedName function="false" hidden="false" name="ContPct" vbProcedure="false">Effort!$C$57</definedName>
    <definedName function="false" hidden="false" name="CostMode" vbProcedure="false">Setup!$C$57</definedName>
    <definedName function="false" hidden="false" name="CostModes" vbProcedure="false">Lists!$V$6:$V$7</definedName>
    <definedName function="false" hidden="false" name="Currency" vbProcedure="false">Setup!$C$10</definedName>
    <definedName function="false" hidden="false" name="DepEng" vbProcedure="false">Setup!$C$42</definedName>
    <definedName function="false" hidden="false" name="DepWk" vbProcedure="false">Setup!$C$41</definedName>
    <definedName function="false" hidden="false" name="DevHrsPerIter" vbProcedure="false">Schedule!$C$16</definedName>
    <definedName function="false" hidden="false" name="DevHrsTotal" vbProcedure="false">Effort!$AL$27</definedName>
    <definedName function="false" hidden="false" name="DevStart" vbProcedure="false">Schedule!$C$9</definedName>
    <definedName function="false" hidden="false" name="DiscountAmt" vbProcedure="false">Cost!$F$41</definedName>
    <definedName function="false" hidden="false" name="DiscountPct" vbProcedure="false">Setup!$C$59</definedName>
    <definedName function="false" hidden="false" name="DPList" vbProcedure="false">Lists!$Q$6:$Q$30</definedName>
    <definedName function="false" hidden="false" name="DPModelUplift" vbProcedure="false">Baseline!$B$27</definedName>
    <definedName function="false" hidden="false" name="DPRepUplift" vbProcedure="false">Baseline!$B$18</definedName>
    <definedName function="false" hidden="false" name="DurationWeeks" vbProcedure="false">Schedule!$C$39</definedName>
    <definedName function="false" hidden="false" name="EffCont" vbProcedure="false">Effort!$AN$7:$AN$26</definedName>
    <definedName function="false" hidden="false" name="EffDev" vbProcedure="false">Effort!$AL$7:$AL$26</definedName>
    <definedName function="false" hidden="false" name="EffRate" vbProcedure="false">Cost!$F$37</definedName>
    <definedName function="false" hidden="false" name="EffTotal" vbProcedure="false">Effort!$AP$7:$AP$26</definedName>
    <definedName function="false" hidden="false" name="EffWave" vbProcedure="false">Effort!$AM$7:$AM$26</definedName>
    <definedName function="false" hidden="false" name="EndDate" vbProcedure="false">Schedule!$C$41</definedName>
    <definedName function="false" hidden="false" name="EngType" vbProcedure="false">Setup!$C$17</definedName>
    <definedName function="false" hidden="false" name="EngTypes" vbProcedure="false">Lists!$T$6:$T$7</definedName>
    <definedName function="false" hidden="false" name="EstDate" vbProcedure="false">Setup!$C$9</definedName>
    <definedName function="false" hidden="false" name="EstVersion" vbProcedure="false">Setup!$C$7</definedName>
    <definedName function="false" hidden="false" name="FactorMax" vbProcedure="false">Baseline!$B$71</definedName>
    <definedName function="false" hidden="false" name="FactorMin" vbProcedure="false">Baseline!$B$70</definedName>
    <definedName function="false" hidden="false" name="FailCount" vbProcedure="false">Checks!$C$21</definedName>
    <definedName function="false" hidden="false" name="FirstGoLive" vbProcedure="false">Schedule!$C$36</definedName>
    <definedName function="false" hidden="false" name="FixedPrice" vbProcedure="false">Cost!$F$44</definedName>
    <definedName function="false" hidden="false" name="FlagMap" vbProcedure="false">Effort!$AT$27</definedName>
    <definedName function="false" hidden="false" name="FlagMix" vbProcedure="false">Effort!$AR$27</definedName>
    <definedName function="false" hidden="false" name="FlagPpr" vbProcedure="false">Effort!$AV$27</definedName>
    <definedName function="false" hidden="false" name="FlagRat" vbProcedure="false">Effort!$AS$27</definedName>
    <definedName function="false" hidden="false" name="FlagWhy" vbProcedure="false">Effort!$AU$27</definedName>
    <definedName function="false" hidden="false" name="GroupHrs" vbProcedure="false">Baseline!$B$50</definedName>
    <definedName function="false" hidden="false" name="HandoverHrs" vbProcedure="false">Baseline!$B$51</definedName>
    <definedName function="false" hidden="false" name="HCCrew" vbProcedure="false">Setup!$C$45</definedName>
    <definedName function="false" hidden="false" name="HCStart" vbProcedure="false">Schedule!$C$37</definedName>
    <definedName function="false" hidden="false" name="HCWk" vbProcedure="false">Setup!$C$44</definedName>
    <definedName function="false" hidden="false" name="HolidayPct" vbProcedure="false">Setup!$C$16</definedName>
    <definedName function="false" hidden="false" name="HrsDerived" vbProcedure="false">Baseline!$B$11</definedName>
    <definedName function="false" hidden="false" name="HrsPage" vbProcedure="false">Baseline!$B$7:$B$10</definedName>
    <definedName function="false" hidden="false" name="HrsWk" vbProcedure="false">Setup!$C$15</definedName>
    <definedName function="false" hidden="false" name="ImpliedRate" vbProcedure="false">Cost!$F$15</definedName>
    <definedName function="false" hidden="false" name="InvPages" vbProcedure="false">Effort!$Q$27</definedName>
    <definedName function="false" hidden="false" name="IterCount" vbProcedure="false">Schedule!$C$11</definedName>
    <definedName function="false" hidden="false" name="IterIn" vbProcedure="false">Setup!$C$20</definedName>
    <definedName function="false" hidden="false" name="IterLen" vbProcedure="false">Setup!$C$14</definedName>
    <definedName function="false" hidden="false" name="IterLens" vbProcedure="false">Lists!$W$6:$W$7</definedName>
    <definedName function="false" hidden="false" name="KnownFactor" vbProcedure="false">Lists!$N$6:$N$45</definedName>
    <definedName function="false" hidden="false" name="KnownKey" vbProcedure="false">Lists!$O$6:$O$45</definedName>
    <definedName function="false" hidden="false" name="LastGoLive" vbProcedure="false">Schedule!$C$23</definedName>
    <definedName function="false" hidden="false" name="LastWave" vbProcedure="false">Schedule!$C$34</definedName>
    <definedName function="false" hidden="false" name="LearnAvg" vbProcedure="false">Baseline!$B$16</definedName>
    <definedName function="false" hidden="false" name="LearnQ" vbProcedure="false">Baseline!$B$12:$B$15</definedName>
    <definedName function="false" hidden="false" name="ManualDepHrs" vbProcedure="false">Baseline!$B$64</definedName>
    <definedName function="false" hidden="false" name="MergeHrs" vbProcedure="false">Baseline!$B$19</definedName>
    <definedName function="false" hidden="false" name="MilestoneDates" vbProcedure="false">Schedule!$D$61:$D$71</definedName>
    <definedName function="false" hidden="false" name="MilestoneLabels" vbProcedure="false">Schedule!$B$61:$B$71</definedName>
    <definedName function="false" hidden="false" name="MilestoneNames" vbProcedure="false">Setup!$B$65:$B$70</definedName>
    <definedName function="false" hidden="false" name="MilestonePct" vbProcedure="false">Setup!$C$65:$C$70</definedName>
    <definedName function="false" hidden="false" name="MilestoneTotal" vbProcedure="false">Setup!$C$71</definedName>
    <definedName function="false" hidden="false" name="MilestoneWeeks" vbProcedure="false">Schedule!$C$61:$C$71</definedName>
    <definedName function="false" hidden="false" name="ModelHrs" vbProcedure="false">Baseline!$B$22:$B$25</definedName>
    <definedName function="false" hidden="false" name="ModelLead" vbProcedure="false">Setup!$C$26</definedName>
    <definedName function="false" hidden="false" name="OnsiteShare" vbProcedure="false">Cost!$F$16</definedName>
    <definedName function="false" hidden="false" name="Opportunity" vbProcedure="false">Setup!$C$6</definedName>
    <definedName function="false" hidden="false" name="PagesDerived" vbProcedure="false">Effort!$V$27</definedName>
    <definedName function="false" hidden="false" name="PagesFull" vbProcedure="false">Effort!$U$27</definedName>
    <definedName function="false" hidden="false" name="PagesPerIter" vbProcedure="false">Schedule!$C$17</definedName>
    <definedName function="false" hidden="false" name="PaginatedFactor" vbProcedure="false">Baseline!$B$17</definedName>
    <definedName function="false" hidden="false" name="PairDirectHrs" vbProcedure="false">Effort!$AK$27</definedName>
    <definedName function="false" hidden="false" name="PairTotalHrs" vbProcedure="false">Effort!$AP$27</definedName>
    <definedName function="false" hidden="false" name="PassOther" vbProcedure="false">Setup!$C$62</definedName>
    <definedName function="false" hidden="false" name="PassThrough" vbProcedure="false">Cost!$F$43</definedName>
    <definedName function="false" hidden="false" name="PassTools" vbProcedure="false">Setup!$C$60</definedName>
    <definedName function="false" hidden="false" name="PassTravel" vbProcedure="false">Setup!$C$61</definedName>
    <definedName function="false" hidden="false" name="PeakRepTeam" vbProcedure="false">Schedule!$C$15</definedName>
    <definedName function="false" hidden="false" name="PeakTeam" vbProcedure="false">Plan!$D$65</definedName>
    <definedName function="false" hidden="false" name="PeakTeamIn" vbProcedure="false">Setup!$C$19</definedName>
    <definedName function="false" hidden="false" name="PersonWeeks" vbProcedure="false">Plan!$D$68</definedName>
    <definedName function="false" hidden="false" name="PhaseCost" vbProcedure="false">Cost!$E$21:$E$31</definedName>
    <definedName function="false" hidden="false" name="PhaseCostTotal" vbProcedure="false">Cost!$E$32</definedName>
    <definedName function="false" hidden="false" name="PhaseHours" vbProcedure="false">Effort!$C$45:$C$55</definedName>
    <definedName function="false" hidden="false" name="PhaseNames" vbProcedure="false">Effort!$B$45:$B$55</definedName>
    <definedName function="false" hidden="false" name="PhEnd" vbProcedure="false">Schedule!$D$46:$D$56</definedName>
    <definedName function="false" hidden="false" name="PhStart" vbProcedure="false">Schedule!$C$46:$C$56</definedName>
    <definedName function="false" hidden="false" name="Pipeline" vbProcedure="false">Setup!$C$43</definedName>
    <definedName function="false" hidden="false" name="PlanHeadcount" vbProcedure="false">Plan!$F$61:$DE$61</definedName>
    <definedName function="false" hidden="false" name="PlanHrs" vbProcedure="false">Plan!$D$61</definedName>
    <definedName function="false" hidden="false" name="PlanWeeks" vbProcedure="false">Plan!$F$5:$DE$5</definedName>
    <definedName function="false" hidden="false" name="PMFTE" vbProcedure="false">Setup!$C$28</definedName>
    <definedName function="false" hidden="false" name="PreparedBy" vbProcedure="false">Setup!$C$8</definedName>
    <definedName function="false" hidden="false" name="ProgArchHrs" vbProcedure="false">Effort!$C$34</definedName>
    <definedName function="false" hidden="false" name="ProgDepHrs" vbProcedure="false">Effort!$C$37</definedName>
    <definedName function="false" hidden="false" name="ProgEnd" vbProcedure="false">Schedule!$C$38</definedName>
    <definedName function="false" hidden="false" name="ProgHCHrs" vbProcedure="false">Effort!$C$38</definedName>
    <definedName function="false" hidden="false" name="ProgInitHrs" vbProcedure="false">Effort!$C$32</definedName>
    <definedName function="false" hidden="false" name="ProgPMHrs" vbProcedure="false">Effort!$C$39</definedName>
    <definedName function="false" hidden="false" name="ProgSharedHrs" vbProcedure="false">Effort!$C$40</definedName>
    <definedName function="false" hidden="false" name="ProgSITHrs" vbProcedure="false">Effort!$C$35</definedName>
    <definedName function="false" hidden="false" name="ProgUATHrs" vbProcedure="false">Effort!$C$36</definedName>
    <definedName function="false" hidden="false" name="RampDown" vbProcedure="false">Setup!$C$22</definedName>
    <definedName function="false" hidden="false" name="RampUp" vbProcedure="false">Setup!$C$21</definedName>
    <definedName function="false" hidden="false" name="RampWeightSum" vbProcedure="false">Plan!$D$20</definedName>
    <definedName function="false" hidden="false" name="RateKeys" vbProcedure="false">Rates!$E$5:$E$38</definedName>
    <definedName function="false" hidden="false" name="RateLocs" vbProcedure="false">Rates!$C$5:$C$38</definedName>
    <definedName function="false" hidden="false" name="RateVals" vbProcedure="false">Rates!$D$5:$D$38</definedName>
    <definedName function="false" hidden="false" name="ReconTol" vbProcedure="false">Baseline!$B$72</definedName>
    <definedName function="false" hidden="false" name="ReconVar" vbProcedure="false">Plan!$D$69</definedName>
    <definedName function="false" hidden="false" name="Releases" vbProcedure="false">Schedule!$C$35</definedName>
    <definedName function="false" hidden="false" name="RepEnd" vbProcedure="false">Schedule!$C$13</definedName>
    <definedName function="false" hidden="false" name="RepHrs" vbProcedure="false">Effort!$AA$27</definedName>
    <definedName function="false" hidden="false" name="ReportsBuilt" vbProcedure="false">Effort!$R$27</definedName>
    <definedName function="false" hidden="false" name="RepStart" vbProcedure="false">Schedule!$C$10</definedName>
    <definedName function="false" hidden="false" name="RepWeeks" vbProcedure="false">Schedule!$C$12</definedName>
    <definedName function="false" hidden="false" name="RiskCost" vbProcedure="false">Cost!$F$39</definedName>
    <definedName function="false" hidden="false" name="RiskExpectedHrs" vbProcedure="false">Risks!$E$21</definedName>
    <definedName function="false" hidden="false" name="RiskHrs" vbProcedure="false">Effort!$C$59</definedName>
    <definedName function="false" hidden="false" name="RoleCost" vbProcedure="false">Cost!$F$6:$F$13</definedName>
    <definedName function="false" hidden="false" name="RoleCostTotal" vbProcedure="false">Cost!$F$14</definedName>
    <definedName function="false" hidden="false" name="RoleHrs" vbProcedure="false">Cost!$D$6:$D$13</definedName>
    <definedName function="false" hidden="false" name="RoleHrsTotal" vbProcedure="false">Cost!$D$14</definedName>
    <definedName function="false" hidden="false" name="RoleLocCol" vbProcedure="false">Cost!$C$6:$C$13</definedName>
    <definedName function="false" hidden="false" name="RoleLocs" vbProcedure="false">Roles!$E$6:$E$13</definedName>
    <definedName function="false" hidden="false" name="RoleMix" vbProcedure="false">Roles!$C$18:$J$28</definedName>
    <definedName function="false" hidden="false" name="RoleMixTotals" vbProcedure="false">Roles!$K$18:$K$28</definedName>
    <definedName function="false" hidden="false" name="RoleNames" vbProcedure="false">Roles!$B$6:$B$13</definedName>
    <definedName function="false" hidden="false" name="RoleRates" vbProcedure="false">Roles!$D$6:$D$13</definedName>
    <definedName function="false" hidden="false" name="RoundStep" vbProcedure="false">Setup!$C$27</definedName>
    <definedName function="false" hidden="false" name="SchedHrs" vbProcedure="false">Baseline!$B$49</definedName>
    <definedName function="false" hidden="false" name="SecHrs" vbProcedure="false">Baseline!$B$45:$B$48</definedName>
    <definedName function="false" hidden="false" name="SecNames" vbProcedure="false">Baseline!$A$45:$A$48</definedName>
    <definedName function="false" hidden="false" name="SecOpsHrs" vbProcedure="false">Effort!$AH$27</definedName>
    <definedName function="false" hidden="false" name="SemEnd" vbProcedure="false">Schedule!$C$14</definedName>
    <definedName function="false" hidden="false" name="SemHrs" vbProcedure="false">Effort!$AF$27</definedName>
    <definedName function="false" hidden="false" name="ServicesGross" vbProcedure="false">Cost!$F$40</definedName>
    <definedName function="false" hidden="false" name="ServicesNet" vbProcedure="false">Cost!$F$42</definedName>
    <definedName function="false" hidden="false" name="SITEnd" vbProcedure="false">Schedule!$C$21</definedName>
    <definedName function="false" hidden="false" name="SITEng" vbProcedure="false">Schedule!$C$18</definedName>
    <definedName function="false" hidden="false" name="SITFinal" vbProcedure="false">Setup!$C$35</definedName>
    <definedName function="false" hidden="false" name="SITFixed" vbProcedure="false">Setup!$C$34</definedName>
    <definedName function="false" hidden="false" name="SITMin" vbProcedure="false">Setup!$C$32</definedName>
    <definedName function="false" hidden="false" name="SITPct" vbProcedure="false">Setup!$C$33</definedName>
    <definedName function="false" hidden="false" name="SITStart" vbProcedure="false">Schedule!$C$20</definedName>
    <definedName function="false" hidden="false" name="SITWk" vbProcedure="false">Setup!$C$31</definedName>
    <definedName function="false" hidden="false" name="SolveMode" vbProcedure="false">Setup!$C$18</definedName>
    <definedName function="false" hidden="false" name="SolveModes" vbProcedure="false">Lists!$U$6:$U$7</definedName>
    <definedName function="false" hidden="false" name="StartDate" vbProcedure="false">Setup!$C$11</definedName>
    <definedName function="false" hidden="false" name="TargetTools" vbProcedure="false">Effort!$C$33</definedName>
    <definedName function="false" hidden="false" name="ToolArch" vbProcedure="false">Lists!$B$6:$B$45</definedName>
    <definedName function="false" hidden="false" name="ToolNames" vbProcedure="false">Lists!$A$6:$A$45</definedName>
    <definedName function="false" hidden="false" name="TotalBaseHrs" vbProcedure="false">Effort!$C$56</definedName>
    <definedName function="false" hidden="false" name="TotalHrs" vbProcedure="false">Effort!$C$60</definedName>
    <definedName function="false" hidden="false" name="UATEng" vbProcedure="false">Schedule!$C$19</definedName>
    <definedName function="false" hidden="false" name="UATFinal" vbProcedure="false">Setup!$C$40</definedName>
    <definedName function="false" hidden="false" name="UATHigh" vbProcedure="false">Setup!$C$38</definedName>
    <definedName function="false" hidden="false" name="UATLow" vbProcedure="false">Setup!$C$37</definedName>
    <definedName function="false" hidden="false" name="UATStart" vbProcedure="false">Schedule!$C$22</definedName>
    <definedName function="false" hidden="false" name="UATThreshold" vbProcedure="false">Setup!$C$39</definedName>
    <definedName function="false" hidden="false" name="UATWk" vbProcedure="false">Setup!$C$36</definedName>
    <definedName function="false" hidden="false" name="WaveGoLive" vbProcedure="false">Schedule!$G$28:$G$32</definedName>
    <definedName function="false" hidden="false" name="YesNo" vbProcedure="false">Lists!$S$6:$S$7</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14" authorId="0">
      <text>
        <r>
          <rPr>
            <sz val="10"/>
            <rFont val="Arial"/>
            <family val="2"/>
          </rPr>
          <t xml:space="preserve">Development iteration = SIT/UAT cadence. 1 or 2 weeks.</t>
        </r>
      </text>
    </comment>
    <comment ref="C15" authorId="0">
      <text>
        <r>
          <rPr>
            <sz val="10"/>
            <rFont val="Arial"/>
            <family val="2"/>
          </rPr>
          <t xml:space="preserve">User decision: 40 productive hours (of 42.5 worked).</t>
        </r>
      </text>
    </comment>
    <comment ref="C17" authorId="0">
      <text>
        <r>
          <rPr>
            <sz val="10"/>
            <rFont val="Arial"/>
            <family val="2"/>
          </rPr>
          <t xml:space="preserve">Bundled = PM carried by the ETL/EDW programme, so PM hours are 0.</t>
        </r>
      </text>
    </comment>
    <comment ref="C26" authorId="0">
      <text>
        <r>
          <rPr>
            <sz val="10"/>
            <rFont val="Arial"/>
            <family val="2"/>
          </rPr>
          <t xml:space="preserve">Old calculator B13 - now used.</t>
        </r>
      </text>
    </comment>
    <comment ref="C33" authorId="0">
      <text>
        <r>
          <rPr>
            <sz val="10"/>
            <rFont val="Arial"/>
            <family val="2"/>
          </rPr>
          <t xml:space="preserve">Old calculator B14 (15%) now sizes the per-iteration SIT crew.</t>
        </r>
      </text>
    </comment>
    <comment ref="C41" authorId="0">
      <text>
        <r>
          <rPr>
            <sz val="10"/>
            <rFont val="Arial"/>
            <family val="2"/>
          </rPr>
          <t xml:space="preserve">Usually less than the UAT support cycle.</t>
        </r>
      </text>
    </comment>
    <comment ref="C43" authorId="0">
      <text>
        <r>
          <rPr>
            <sz val="10"/>
            <rFont val="Arial"/>
            <family val="2"/>
          </rPr>
          <t xml:space="preserve">No = add manual deployment hours per report.</t>
        </r>
      </text>
    </comment>
  </commentList>
</comments>
</file>

<file path=xl/sharedStrings.xml><?xml version="1.0" encoding="utf-8"?>
<sst xmlns="http://schemas.openxmlformats.org/spreadsheetml/2006/main" count="1104" uniqueCount="689">
  <si>
    <t xml:space="preserve">BI Migration Estimator v2</t>
  </si>
  <si>
    <t xml:space="preserve">Quotable fixed-price estimate for BI report and semantic-model migrations.</t>
  </si>
  <si>
    <t xml:space="preserve">How to use</t>
  </si>
  <si>
    <t xml:space="preserve">1. Setup</t>
  </si>
  <si>
    <t xml:space="preserve">Enter engagement details, iteration length, team and ramp settings, SIT/UAT/deployment cadence, automation % by phase and cost mode.</t>
  </si>
  <si>
    <t xml:space="preserve">2. Scope</t>
  </si>
  <si>
    <t xml:space="preserve">One row per migration pair. Pick or type the source and target BI tool and data platform, then inventory, complexity mix, rationalisation, semantic models, security and AI readiness. Example rows are provided - overwrite them.</t>
  </si>
  <si>
    <t xml:space="preserve">3. Risks</t>
  </si>
  <si>
    <t xml:space="preserve">List named risks with impact hours and probability. Expected hours become the risk reserve.</t>
  </si>
  <si>
    <t xml:space="preserve">4. Roles</t>
  </si>
  <si>
    <t xml:space="preserve">Choose the rate-card row for each plan role and adjust the role mix per phase (each row totals 100%).</t>
  </si>
  <si>
    <t xml:space="preserve">5. Checks</t>
  </si>
  <si>
    <t xml:space="preserve">Fix every FAIL. The Summary banner turns green only when all checks pass.</t>
  </si>
  <si>
    <t xml:space="preserve">6. Summary</t>
  </si>
  <si>
    <t xml:space="preserve">Read the price, effort, duration, team and dates. Print Summary and Assumptions for the proposal.</t>
  </si>
  <si>
    <t xml:space="preserve">7. Plan</t>
  </si>
  <si>
    <t xml:space="preserve">Review the weekly headcount. Use the manual adjustment rows to reshape the team; the reconciliation check flags gaps over the tolerance.</t>
  </si>
  <si>
    <t xml:space="preserve">Colour key</t>
  </si>
  <si>
    <t xml:space="preserve">Input</t>
  </si>
  <si>
    <t xml:space="preserve">Yellow cell with blue text: editable input (all other cells are locked; sheets are protected without a password).</t>
  </si>
  <si>
    <t xml:space="preserve">Calculated</t>
  </si>
  <si>
    <t xml:space="preserve">Black text: formula - do not overwrite.</t>
  </si>
  <si>
    <t xml:space="preserve">Header</t>
  </si>
  <si>
    <t xml:space="preserve">Table header.</t>
  </si>
  <si>
    <t xml:space="preserve">Tabs</t>
  </si>
  <si>
    <t xml:space="preserve">Summary</t>
  </si>
  <si>
    <t xml:space="preserve">One-page quotable view.</t>
  </si>
  <si>
    <t xml:space="preserve">Setup</t>
  </si>
  <si>
    <t xml:space="preserve">Engagement-wide inputs.</t>
  </si>
  <si>
    <t xml:space="preserve">Scope</t>
  </si>
  <si>
    <t xml:space="preserve">Migration pairs (up to 20).</t>
  </si>
  <si>
    <t xml:space="preserve">Risks</t>
  </si>
  <si>
    <t xml:space="preserve">Risk register.</t>
  </si>
  <si>
    <t xml:space="preserve">Roles</t>
  </si>
  <si>
    <t xml:space="preserve">Plan roles, rate selection and role mix by phase.</t>
  </si>
  <si>
    <t xml:space="preserve">Rates</t>
  </si>
  <si>
    <t xml:space="preserve">Rate card (bill rates, USD/h).</t>
  </si>
  <si>
    <t xml:space="preserve">Lists</t>
  </si>
  <si>
    <t xml:space="preserve">Tools, archetypes, known pair factors, data platforms.</t>
  </si>
  <si>
    <t xml:space="preserve">Baseline</t>
  </si>
  <si>
    <t xml:space="preserve">Reference values with status: Carried / Reshaped / New proposal / User decision.</t>
  </si>
  <si>
    <t xml:space="preserve">Effort</t>
  </si>
  <si>
    <t xml:space="preserve">Hours per pair and phase; programme-level hours; totals.</t>
  </si>
  <si>
    <t xml:space="preserve">Schedule</t>
  </si>
  <si>
    <t xml:space="preserve">Iterations, waves, phase windows, milestones.</t>
  </si>
  <si>
    <t xml:space="preserve">Plan</t>
  </si>
  <si>
    <t xml:space="preserve">Weekly hours and headcount by role.</t>
  </si>
  <si>
    <t xml:space="preserve">Cost</t>
  </si>
  <si>
    <t xml:space="preserve">Cost by role and phase; price build-up; payment milestones.</t>
  </si>
  <si>
    <t xml:space="preserve">Assumptions</t>
  </si>
  <si>
    <t xml:space="preserve">Printable assumptions and exclusions.</t>
  </si>
  <si>
    <t xml:space="preserve">Checks</t>
  </si>
  <si>
    <t xml:space="preserve">Validation; must all PASS.</t>
  </si>
  <si>
    <t xml:space="preserve">Scenarios</t>
  </si>
  <si>
    <t xml:space="preserve">Side-by-side comparison of saved options.</t>
  </si>
  <si>
    <t xml:space="preserve">ChangeLog</t>
  </si>
  <si>
    <t xml:space="preserve">Version history.</t>
  </si>
  <si>
    <t xml:space="preserve">Method</t>
  </si>
  <si>
    <t xml:space="preserve">Report development = full-effort pages x mix-weighted hours per page x pair factor x data-platform uplift x report-type factor x (1 - learning gain) x (1 - automation saving), plus derived and merge hours.</t>
  </si>
  <si>
    <t xml:space="preserve">Semantic models = target models x mix-weighted model hours x approach share x pair factor x platform uplift, plus consolidation hours, less automation saving.</t>
  </si>
  <si>
    <t xml:space="preserve">Iterations: report hours / (peak team x hours per week) plus half the ramp weeks, divided by iteration length (or fixed directly).</t>
  </si>
  <si>
    <t xml:space="preserve">SIT runs one iteration behind development and UAT two behind; both are sized per iteration (crew x weeks), plus a final regression and UAT cycle.</t>
  </si>
  <si>
    <t xml:space="preserve">Automation saving per phase = automation % x automatable cap, so automation never removes the review and validation work.</t>
  </si>
  <si>
    <t xml:space="preserve">No step tiers: initiation and analysis interpolate between the old calculator's tier values.</t>
  </si>
  <si>
    <t xml:space="preserve">Fixed price</t>
  </si>
  <si>
    <t xml:space="preserve">Total effort (hours)</t>
  </si>
  <si>
    <t xml:space="preserve">Duration (working weeks)</t>
  </si>
  <si>
    <t xml:space="preserve">Planned end date</t>
  </si>
  <si>
    <t xml:space="preserve">Development iterations</t>
  </si>
  <si>
    <t xml:space="preserve">Releases</t>
  </si>
  <si>
    <t xml:space="preserve">Peak team (FTE)</t>
  </si>
  <si>
    <t xml:space="preserve">Average team (FTE)</t>
  </si>
  <si>
    <t xml:space="preserve">Effort and cost by phase</t>
  </si>
  <si>
    <t xml:space="preserve">Team and cost by role</t>
  </si>
  <si>
    <t xml:space="preserve">Phase</t>
  </si>
  <si>
    <t xml:space="preserve">Hours</t>
  </si>
  <si>
    <t xml:space="preserve">% of hours</t>
  </si>
  <si>
    <t xml:space="preserve">Cost (USD)</t>
  </si>
  <si>
    <t xml:space="preserve">Weeks (start-end)</t>
  </si>
  <si>
    <t xml:space="preserve">Role</t>
  </si>
  <si>
    <t xml:space="preserve">Location</t>
  </si>
  <si>
    <t xml:space="preserve">Rate (USD/h)</t>
  </si>
  <si>
    <t xml:space="preserve">Initiation &amp; assessment</t>
  </si>
  <si>
    <t xml:space="preserve">Architecture &amp; design</t>
  </si>
  <si>
    <t xml:space="preserve">Semantic model build &amp; consolidation</t>
  </si>
  <si>
    <t xml:space="preserve">Report development &amp; unit validation</t>
  </si>
  <si>
    <t xml:space="preserve">SIT &amp; optimization</t>
  </si>
  <si>
    <t xml:space="preserve">UAT support</t>
  </si>
  <si>
    <t xml:space="preserve">Deployment support</t>
  </si>
  <si>
    <t xml:space="preserve">Hypercare</t>
  </si>
  <si>
    <t xml:space="preserve">Security, operations &amp; handover</t>
  </si>
  <si>
    <t xml:space="preserve">Total</t>
  </si>
  <si>
    <t xml:space="preserve">AI readiness</t>
  </si>
  <si>
    <t xml:space="preserve">Project management</t>
  </si>
  <si>
    <t xml:space="preserve">Base effort</t>
  </si>
  <si>
    <t xml:space="preserve">Key dates</t>
  </si>
  <si>
    <t xml:space="preserve">Contingency</t>
  </si>
  <si>
    <t xml:space="preserve">Milestone</t>
  </si>
  <si>
    <t xml:space="preserve">Week</t>
  </si>
  <si>
    <t xml:space="preserve">Date</t>
  </si>
  <si>
    <t xml:space="preserve">Risk reserve</t>
  </si>
  <si>
    <t xml:space="preserve">Discount</t>
  </si>
  <si>
    <t xml:space="preserve">Pass-throughs</t>
  </si>
  <si>
    <t xml:space="preserve">FIXED PRICE</t>
  </si>
  <si>
    <t xml:space="preserve">Effort by migration pair</t>
  </si>
  <si>
    <t xml:space="preserve">Pair</t>
  </si>
  <si>
    <t xml:space="preserve">Source -&gt; target</t>
  </si>
  <si>
    <t xml:space="preserve">Reports to build</t>
  </si>
  <si>
    <t xml:space="preserve">Hours (incl. shared)</t>
  </si>
  <si>
    <t xml:space="preserve">Contingency %</t>
  </si>
  <si>
    <t xml:space="preserve">Engagement-wide settings. Yellow cells are inputs; hover a cell for guidance.</t>
  </si>
  <si>
    <t xml:space="preserve">Engagement</t>
  </si>
  <si>
    <t xml:space="preserve">Client</t>
  </si>
  <si>
    <t xml:space="preserve">Example Client</t>
  </si>
  <si>
    <t xml:space="preserve">Opportunity</t>
  </si>
  <si>
    <t xml:space="preserve">BI modernisation programme</t>
  </si>
  <si>
    <t xml:space="preserve">Estimate version</t>
  </si>
  <si>
    <t xml:space="preserve">v2.0-draft</t>
  </si>
  <si>
    <t xml:space="preserve">Prepared by</t>
  </si>
  <si>
    <t xml:space="preserve">Estimate date</t>
  </si>
  <si>
    <t xml:space="preserve">Currency</t>
  </si>
  <si>
    <t xml:space="preserve">USD</t>
  </si>
  <si>
    <t xml:space="preserve">Planned start date (Monday)</t>
  </si>
  <si>
    <t xml:space="preserve">Delivery parameters</t>
  </si>
  <si>
    <t xml:space="preserve">Iteration length (weeks)</t>
  </si>
  <si>
    <t xml:space="preserve">Productive hours per person-week</t>
  </si>
  <si>
    <t xml:space="preserve">Holiday allowance (stretches calendar dates only)</t>
  </si>
  <si>
    <t xml:space="preserve">Engagement type</t>
  </si>
  <si>
    <t xml:space="preserve">Pure BI</t>
  </si>
  <si>
    <t xml:space="preserve">Solve mode</t>
  </si>
  <si>
    <t xml:space="preserve">Fix team, compute iterations</t>
  </si>
  <si>
    <t xml:space="preserve">Peak report-development team (FTE) - used when fixing team</t>
  </si>
  <si>
    <t xml:space="preserve">Development iterations - used when fixing iterations</t>
  </si>
  <si>
    <t xml:space="preserve">Ramp-up weeks (report development)</t>
  </si>
  <si>
    <t xml:space="preserve">Ramp-down weeks (report development)</t>
  </si>
  <si>
    <t xml:space="preserve">Assessment team (FTE)</t>
  </si>
  <si>
    <t xml:space="preserve">Architecture team (FTE)</t>
  </si>
  <si>
    <t xml:space="preserve">Architecture overlap with assessment</t>
  </si>
  <si>
    <t xml:space="preserve">Model lead time before report iterations (weeks)</t>
  </si>
  <si>
    <t xml:space="preserve">Headcount rounding step (0 = no rounding)</t>
  </si>
  <si>
    <t xml:space="preserve">PM FTE (pure BI engagements)</t>
  </si>
  <si>
    <t xml:space="preserve">SIT, UAT and deployment support (sized per development iteration)</t>
  </si>
  <si>
    <t xml:space="preserve">SIT weeks per iteration</t>
  </si>
  <si>
    <t xml:space="preserve">SIT minimum engineers</t>
  </si>
  <si>
    <t xml:space="preserve">SIT crew sizing (% of dev hours per iteration)</t>
  </si>
  <si>
    <t xml:space="preserve">SIT fixed hours per iteration (environments, regression)</t>
  </si>
  <si>
    <t xml:space="preserve">Final regression cycle (weeks)</t>
  </si>
  <si>
    <t xml:space="preserve">UAT support weeks per iteration</t>
  </si>
  <si>
    <t xml:space="preserve">UAT engineers when volume &lt;= threshold</t>
  </si>
  <si>
    <t xml:space="preserve">UAT engineers when volume &gt; threshold</t>
  </si>
  <si>
    <t xml:space="preserve">Volume threshold (report pages per iteration)</t>
  </si>
  <si>
    <t xml:space="preserve">Final UAT cycle (weeks)</t>
  </si>
  <si>
    <t xml:space="preserve">Deployment support weeks per iteration</t>
  </si>
  <si>
    <t xml:space="preserve">Deployment support engineers</t>
  </si>
  <si>
    <t xml:space="preserve">Deployment pipeline available?</t>
  </si>
  <si>
    <t xml:space="preserve">Yes</t>
  </si>
  <si>
    <t xml:space="preserve">Hypercare weeks per go-live</t>
  </si>
  <si>
    <t xml:space="preserve">Hypercare crew (FTE)</t>
  </si>
  <si>
    <t xml:space="preserve">Automation by phase (global; pairs may override assessment, semantic and report automation on Scope)</t>
  </si>
  <si>
    <t xml:space="preserve">Automation %</t>
  </si>
  <si>
    <t xml:space="preserve">Automatable cap</t>
  </si>
  <si>
    <t xml:space="preserve">Effective saving</t>
  </si>
  <si>
    <t xml:space="preserve">Assessment</t>
  </si>
  <si>
    <t xml:space="preserve">Semantic model</t>
  </si>
  <si>
    <t xml:space="preserve">Report development</t>
  </si>
  <si>
    <t xml:space="preserve">SIT</t>
  </si>
  <si>
    <t xml:space="preserve">Cost mode</t>
  </si>
  <si>
    <t xml:space="preserve">Role mix</t>
  </si>
  <si>
    <t xml:space="preserve">Blended rate (USD/h) - used in Blended mode</t>
  </si>
  <si>
    <t xml:space="preserve">Discount on bill rates</t>
  </si>
  <si>
    <t xml:space="preserve">Pass-through: tools / licences (USD)</t>
  </si>
  <si>
    <t xml:space="preserve">Pass-through: travel (USD)</t>
  </si>
  <si>
    <t xml:space="preserve">Pass-through: other (USD)</t>
  </si>
  <si>
    <t xml:space="preserve">Payment milestones (must total 100%)</t>
  </si>
  <si>
    <t xml:space="preserve">Contract signature</t>
  </si>
  <si>
    <t xml:space="preserve">Assessment sign-off</t>
  </si>
  <si>
    <t xml:space="preserve">Architecture sign-off</t>
  </si>
  <si>
    <t xml:space="preserve">Mid-development</t>
  </si>
  <si>
    <t xml:space="preserve">Final go-live</t>
  </si>
  <si>
    <t xml:space="preserve">Hypercare exit</t>
  </si>
  <si>
    <t xml:space="preserve">One row per migration pair (source BI tool + data platform -&gt; target BI tool + data platform). Rows with a source, target and report count are active.</t>
  </si>
  <si>
    <t xml:space="preserve">Mixes are fractions that total 100% per row. Retired + Consolidated &lt;= 100%; Derived applies to what remains. Blank automation override = use Setup.</t>
  </si>
  <si>
    <t xml:space="preserve">Report inventory</t>
  </si>
  <si>
    <t xml:space="preserve">Report complexity</t>
  </si>
  <si>
    <t xml:space="preserve">Rationalisation</t>
  </si>
  <si>
    <t xml:space="preserve">Semantic layer</t>
  </si>
  <si>
    <t xml:space="preserve">Security, ops, AI</t>
  </si>
  <si>
    <t xml:space="preserve">Overrides and confidence</t>
  </si>
  <si>
    <t xml:space="preserve">#</t>
  </si>
  <si>
    <t xml:space="preserve">Pair name</t>
  </si>
  <si>
    <t xml:space="preserve">Source BI tool</t>
  </si>
  <si>
    <t xml:space="preserve">Target BI tool</t>
  </si>
  <si>
    <t xml:space="preserve">Source data platform</t>
  </si>
  <si>
    <t xml:space="preserve">Target data platform</t>
  </si>
  <si>
    <t xml:space="preserve">Release wave (1-5)</t>
  </si>
  <si>
    <t xml:space="preserve">Reports in inventory</t>
  </si>
  <si>
    <t xml:space="preserve">Avg pages (sheets) per report</t>
  </si>
  <si>
    <t xml:space="preserve">% paginated</t>
  </si>
  <si>
    <t xml:space="preserve">% with custom SQL</t>
  </si>
  <si>
    <t xml:space="preserve">% Simple</t>
  </si>
  <si>
    <t xml:space="preserve">% Medium</t>
  </si>
  <si>
    <t xml:space="preserve">% Complex</t>
  </si>
  <si>
    <t xml:space="preserve">% Very Complex</t>
  </si>
  <si>
    <t xml:space="preserve">% Retired</t>
  </si>
  <si>
    <t xml:space="preserve">% Consolidated</t>
  </si>
  <si>
    <t xml:space="preserve">% Derived</t>
  </si>
  <si>
    <t xml:space="preserve">Source semantic models / SQL datasets</t>
  </si>
  <si>
    <t xml:space="preserve">Model % Simple</t>
  </si>
  <si>
    <t xml:space="preserve">Model % Medium</t>
  </si>
  <si>
    <t xml:space="preserve">Model % Complex</t>
  </si>
  <si>
    <t xml:space="preserve">Model % Very Complex</t>
  </si>
  <si>
    <t xml:space="preserve">Target semantic models</t>
  </si>
  <si>
    <t xml:space="preserve">Security model</t>
  </si>
  <si>
    <t xml:space="preserve">Schedules / subscriptions / alerts</t>
  </si>
  <si>
    <t xml:space="preserve">User groups</t>
  </si>
  <si>
    <t xml:space="preserve">Pair factor override</t>
  </si>
  <si>
    <t xml:space="preserve">Override reason</t>
  </si>
  <si>
    <t xml:space="preserve">Automation override - Assessment</t>
  </si>
  <si>
    <t xml:space="preserve">Automation override - Semantic</t>
  </si>
  <si>
    <t xml:space="preserve">Automation override - Reports</t>
  </si>
  <si>
    <t xml:space="preserve">Input confidence</t>
  </si>
  <si>
    <t xml:space="preserve">Notes</t>
  </si>
  <si>
    <t xml:space="preserve">Finance OBIEE to Power BI</t>
  </si>
  <si>
    <t xml:space="preserve">OBIEE</t>
  </si>
  <si>
    <t xml:space="preserve">Power BI</t>
  </si>
  <si>
    <t xml:space="preserve">Oracle</t>
  </si>
  <si>
    <t xml:space="preserve">Snowflake</t>
  </si>
  <si>
    <t xml:space="preserve">Row-level</t>
  </si>
  <si>
    <t xml:space="preserve">Basic</t>
  </si>
  <si>
    <t xml:space="preserve">Customer inventory</t>
  </si>
  <si>
    <t xml:space="preserve">Example row - replace with real scope</t>
  </si>
  <si>
    <t xml:space="preserve">Sales Tableau to Power BI</t>
  </si>
  <si>
    <t xml:space="preserve">Tableau</t>
  </si>
  <si>
    <t xml:space="preserve">Amazon Redshift</t>
  </si>
  <si>
    <t xml:space="preserve">Role-based</t>
  </si>
  <si>
    <t xml:space="preserve">None</t>
  </si>
  <si>
    <t xml:space="preserve">Verbal estimate</t>
  </si>
  <si>
    <t xml:space="preserve">Named risks priced at expected value (impact hours x probability). Example rows - replace with the engagement's risks.</t>
  </si>
  <si>
    <t xml:space="preserve">Risk</t>
  </si>
  <si>
    <t xml:space="preserve">Impact (hours)</t>
  </si>
  <si>
    <t xml:space="preserve">Probability</t>
  </si>
  <si>
    <t xml:space="preserve">Expected hours</t>
  </si>
  <si>
    <t xml:space="preserve">Owner</t>
  </si>
  <si>
    <t xml:space="preserve">Mitigation</t>
  </si>
  <si>
    <t xml:space="preserve">Target data platform tables not ready when report iterations start</t>
  </si>
  <si>
    <t xml:space="preserve">Customer</t>
  </si>
  <si>
    <t xml:space="preserve">Model-lead gate; mock data for unit tests</t>
  </si>
  <si>
    <t xml:space="preserve">Custom visuals / extensions with no target equivalent</t>
  </si>
  <si>
    <t xml:space="preserve">BI lead</t>
  </si>
  <si>
    <t xml:space="preserve">Identify in assessment; agree alternatives</t>
  </si>
  <si>
    <t xml:space="preserve">Plan roles (each priced from one rate-card row) and the share of each phase's hours carried by each role.</t>
  </si>
  <si>
    <t xml:space="preserve">Plan roles</t>
  </si>
  <si>
    <t xml:space="preserve">Plan role</t>
  </si>
  <si>
    <t xml:space="preserve">Rate-card key (Role | Grade | Location)</t>
  </si>
  <si>
    <t xml:space="preserve">Delivery manager / PM</t>
  </si>
  <si>
    <t xml:space="preserve">MSE I | G12 | India</t>
  </si>
  <si>
    <t xml:space="preserve">Onsite architect</t>
  </si>
  <si>
    <t xml:space="preserve">Architect II | G12 | USA</t>
  </si>
  <si>
    <t xml:space="preserve">Solution architect</t>
  </si>
  <si>
    <t xml:space="preserve">Sr. Architect I | G13 | India</t>
  </si>
  <si>
    <t xml:space="preserve">BI architect</t>
  </si>
  <si>
    <t xml:space="preserve">Architect II | G11 | India</t>
  </si>
  <si>
    <t xml:space="preserve">Lead</t>
  </si>
  <si>
    <t xml:space="preserve">Lead II | G11 | India</t>
  </si>
  <si>
    <t xml:space="preserve">Sr. engineer</t>
  </si>
  <si>
    <t xml:space="preserve">Sr. Engineer II | G10 | India</t>
  </si>
  <si>
    <t xml:space="preserve">Engineer</t>
  </si>
  <si>
    <t xml:space="preserve">Engineer II | G8 | India</t>
  </si>
  <si>
    <t xml:space="preserve">QA engineer</t>
  </si>
  <si>
    <t xml:space="preserve">Sr. Engineer I | G9 | India</t>
  </si>
  <si>
    <t xml:space="preserve">Role mix by phase (share of phase hours; each row must total 100%)</t>
  </si>
  <si>
    <t xml:space="preserve">Rate card (bill rates, USD per hour) as provided. Key = Role | Grade | Location is what the Roles tab selects.</t>
  </si>
  <si>
    <t xml:space="preserve">Grade</t>
  </si>
  <si>
    <t xml:space="preserve">Key</t>
  </si>
  <si>
    <t xml:space="preserve">MSE II</t>
  </si>
  <si>
    <t xml:space="preserve">G13</t>
  </si>
  <si>
    <t xml:space="preserve">India</t>
  </si>
  <si>
    <t xml:space="preserve">Source: rate card supplied by the user (bill rates, USD/h). Lead I rows added from the requirements review. MSE = Manager Software Engineer.</t>
  </si>
  <si>
    <t xml:space="preserve">MSE I</t>
  </si>
  <si>
    <t xml:space="preserve">G12</t>
  </si>
  <si>
    <t xml:space="preserve">Architect II</t>
  </si>
  <si>
    <t xml:space="preserve">Architect I</t>
  </si>
  <si>
    <t xml:space="preserve">G11</t>
  </si>
  <si>
    <t xml:space="preserve">Lead II</t>
  </si>
  <si>
    <t xml:space="preserve">G10</t>
  </si>
  <si>
    <t xml:space="preserve">Lead I</t>
  </si>
  <si>
    <t xml:space="preserve">G9</t>
  </si>
  <si>
    <t xml:space="preserve">Sr. Engineer II</t>
  </si>
  <si>
    <t xml:space="preserve">Sr. Engineer I</t>
  </si>
  <si>
    <t xml:space="preserve">G8</t>
  </si>
  <si>
    <t xml:space="preserve">Engineer II</t>
  </si>
  <si>
    <t xml:space="preserve">G6</t>
  </si>
  <si>
    <t xml:space="preserve">Engineer I</t>
  </si>
  <si>
    <t xml:space="preserve">G4</t>
  </si>
  <si>
    <t xml:space="preserve">Jr. Engineer</t>
  </si>
  <si>
    <t xml:space="preserve">Sr. Architect I</t>
  </si>
  <si>
    <t xml:space="preserve">Sr. Architect II</t>
  </si>
  <si>
    <t xml:space="preserve">G14</t>
  </si>
  <si>
    <t xml:space="preserve">USA</t>
  </si>
  <si>
    <t xml:space="preserve">Reference lists behind the drop-downs. BI team maintains; add rows in the blank space - no formula changes needed.</t>
  </si>
  <si>
    <t xml:space="preserve">BI tools and archetypes</t>
  </si>
  <si>
    <t xml:space="preserve">Archetypes</t>
  </si>
  <si>
    <t xml:space="preserve">Pair factor fallback by archetype (source row x target column) - proposal, BI team to confirm</t>
  </si>
  <si>
    <t xml:space="preserve">Known pair factors (seeded from old calculator BD7:BD21)</t>
  </si>
  <si>
    <t xml:space="preserve">Data platforms</t>
  </si>
  <si>
    <t xml:space="preserve">BI tool</t>
  </si>
  <si>
    <t xml:space="preserve">Archetype</t>
  </si>
  <si>
    <t xml:space="preserve">Source \ Target</t>
  </si>
  <si>
    <t xml:space="preserve">Enterprise semantic-layer</t>
  </si>
  <si>
    <t xml:space="preserve">Paginated / pixel-perfect</t>
  </si>
  <si>
    <t xml:space="preserve">Modern visual / self-service</t>
  </si>
  <si>
    <t xml:space="preserve">Modern code-based semantic</t>
  </si>
  <si>
    <t xml:space="preserve">Factor</t>
  </si>
  <si>
    <t xml:space="preserve">Data platform</t>
  </si>
  <si>
    <t xml:space="preserve">YesNo</t>
  </si>
  <si>
    <t xml:space="preserve">EngTypes</t>
  </si>
  <si>
    <t xml:space="preserve">SolveModes</t>
  </si>
  <si>
    <t xml:space="preserve">CostModes</t>
  </si>
  <si>
    <t xml:space="preserve">IterLens</t>
  </si>
  <si>
    <t xml:space="preserve">SAP BusinessObjects</t>
  </si>
  <si>
    <t xml:space="preserve">Cognos</t>
  </si>
  <si>
    <t xml:space="preserve">SQL Server</t>
  </si>
  <si>
    <t xml:space="preserve">No</t>
  </si>
  <si>
    <t xml:space="preserve">Bundled with ETL/EDW programme</t>
  </si>
  <si>
    <t xml:space="preserve">Fix iterations, compute team</t>
  </si>
  <si>
    <t xml:space="preserve">Blended</t>
  </si>
  <si>
    <t xml:space="preserve">Oracle Analytics Server</t>
  </si>
  <si>
    <t xml:space="preserve">Teradata</t>
  </si>
  <si>
    <t xml:space="preserve">MicroStrategy</t>
  </si>
  <si>
    <t xml:space="preserve">Netezza</t>
  </si>
  <si>
    <t xml:space="preserve">SSRS</t>
  </si>
  <si>
    <t xml:space="preserve">DB2</t>
  </si>
  <si>
    <t xml:space="preserve">QuickSight</t>
  </si>
  <si>
    <t xml:space="preserve">SAP HANA</t>
  </si>
  <si>
    <t xml:space="preserve">Crystal Reports</t>
  </si>
  <si>
    <t xml:space="preserve">Semantic-model approach by archetype (source row x target column)</t>
  </si>
  <si>
    <t xml:space="preserve">Databricks</t>
  </si>
  <si>
    <t xml:space="preserve">Redesign</t>
  </si>
  <si>
    <t xml:space="preserve">Author (LookML)</t>
  </si>
  <si>
    <t xml:space="preserve">Google BigQuery</t>
  </si>
  <si>
    <t xml:space="preserve">Shared datasets</t>
  </si>
  <si>
    <t xml:space="preserve">Qlik Sense</t>
  </si>
  <si>
    <t xml:space="preserve">Translate</t>
  </si>
  <si>
    <t xml:space="preserve">Looker</t>
  </si>
  <si>
    <t xml:space="preserve">Azure Synapse</t>
  </si>
  <si>
    <t xml:space="preserve">QlikView</t>
  </si>
  <si>
    <t xml:space="preserve">Microsoft Fabric</t>
  </si>
  <si>
    <t xml:space="preserve">Looker Studio</t>
  </si>
  <si>
    <t xml:space="preserve">PostgreSQL</t>
  </si>
  <si>
    <t xml:space="preserve">Other</t>
  </si>
  <si>
    <t xml:space="preserve">Reference values used by the engine. Status shows where each value came from. Change values here only with BI-team sign-off.</t>
  </si>
  <si>
    <t xml:space="preserve">Parameter</t>
  </si>
  <si>
    <t xml:space="preserve">Value</t>
  </si>
  <si>
    <t xml:space="preserve">Unit</t>
  </si>
  <si>
    <t xml:space="preserve">Status</t>
  </si>
  <si>
    <t xml:space="preserve">Source / note</t>
  </si>
  <si>
    <t xml:space="preserve">Hours per report page - Simple</t>
  </si>
  <si>
    <t xml:space="preserve">h / page</t>
  </si>
  <si>
    <t xml:space="preserve">Carried</t>
  </si>
  <si>
    <t xml:space="preserve">Old calculator F5</t>
  </si>
  <si>
    <t xml:space="preserve">Hours per report page - Medium</t>
  </si>
  <si>
    <t xml:space="preserve">Old calculator F6</t>
  </si>
  <si>
    <t xml:space="preserve">Hours per report page - Complex</t>
  </si>
  <si>
    <t xml:space="preserve">Old calculator F7</t>
  </si>
  <si>
    <t xml:space="preserve">Hours per report page - Very Complex</t>
  </si>
  <si>
    <t xml:space="preserve">Old calculator F8</t>
  </si>
  <si>
    <t xml:space="preserve">Hours per derived (similar) report page</t>
  </si>
  <si>
    <t xml:space="preserve">Old calculator F9</t>
  </si>
  <si>
    <t xml:space="preserve">Learning gain - quarter 1 of iterations</t>
  </si>
  <si>
    <t xml:space="preserve">% saving</t>
  </si>
  <si>
    <t xml:space="preserve">Reshaped</t>
  </si>
  <si>
    <t xml:space="preserve">User decision 0/10/15/20% (old file 0/15/20/25% by page-tier phase). Applied by quarter of the iteration run.</t>
  </si>
  <si>
    <t xml:space="preserve">Learning gain - quarter 2 of iterations</t>
  </si>
  <si>
    <t xml:space="preserve">Learning gain - quarter 3 of iterations</t>
  </si>
  <si>
    <t xml:space="preserve">Learning gain - quarter 4 of iterations</t>
  </si>
  <si>
    <t xml:space="preserve">Average learning gain (effort is spread evenly over iterations)</t>
  </si>
  <si>
    <t xml:space="preserve">Paginated report effort factor</t>
  </si>
  <si>
    <t xml:space="preserve">x</t>
  </si>
  <si>
    <t xml:space="preserve">New proposal</t>
  </si>
  <si>
    <t xml:space="preserve">Paginated / pixel-perfect pages vs interactive pages</t>
  </si>
  <si>
    <t xml:space="preserve">Data-platform change uplift on custom-SQL reports</t>
  </si>
  <si>
    <t xml:space="preserve">% uplift</t>
  </si>
  <si>
    <t xml:space="preserve">Applied to the custom-SQL share when source and target data platforms differ</t>
  </si>
  <si>
    <t xml:space="preserve">Merge hours per consolidated report</t>
  </si>
  <si>
    <t xml:space="preserve">h / report</t>
  </si>
  <si>
    <t xml:space="preserve">Effort to fold a consolidated report into the report that absorbs it</t>
  </si>
  <si>
    <t xml:space="preserve">Semantic models</t>
  </si>
  <si>
    <t xml:space="preserve">Model build hours - Simple</t>
  </si>
  <si>
    <t xml:space="preserve">h / model</t>
  </si>
  <si>
    <t xml:space="preserve">Replaces old 16/40/80 by reports-per-model (E16); SOP minimum 80 h</t>
  </si>
  <si>
    <t xml:space="preserve">Model build hours - Medium</t>
  </si>
  <si>
    <t xml:space="preserve">Model build hours - Complex</t>
  </si>
  <si>
    <t xml:space="preserve">Model build hours - Very Complex</t>
  </si>
  <si>
    <t xml:space="preserve">Consolidation hours per source model merged</t>
  </si>
  <si>
    <t xml:space="preserve">Applied to (source models - target models)</t>
  </si>
  <si>
    <t xml:space="preserve">Data-platform change uplift on semantic models</t>
  </si>
  <si>
    <t xml:space="preserve">When source and target data platforms differ</t>
  </si>
  <si>
    <t xml:space="preserve">share of build h</t>
  </si>
  <si>
    <t xml:space="preserve">Semantic-model approach share of full build hours</t>
  </si>
  <si>
    <t xml:space="preserve">Initiation and assessment (interpolation anchors on inventory pages)</t>
  </si>
  <si>
    <t xml:space="preserve">Anchor</t>
  </si>
  <si>
    <t xml:space="preserve">Pages</t>
  </si>
  <si>
    <t xml:space="preserve">Initiation h</t>
  </si>
  <si>
    <t xml:space="preserve">Analysis h</t>
  </si>
  <si>
    <t xml:space="preserve">Source</t>
  </si>
  <si>
    <t xml:space="preserve">Anchor 1</t>
  </si>
  <si>
    <t xml:space="preserve">Reshaped: old tier values E14/E15 become straight-line anchors (no cliffs)</t>
  </si>
  <si>
    <t xml:space="preserve">Anchor 2</t>
  </si>
  <si>
    <t xml:space="preserve">Anchor 3</t>
  </si>
  <si>
    <t xml:space="preserve">Anchor 4</t>
  </si>
  <si>
    <t xml:space="preserve">Anchor 5</t>
  </si>
  <si>
    <t xml:space="preserve">Assessment hours per source semantic model</t>
  </si>
  <si>
    <t xml:space="preserve">Inventorying universes / RPD subject areas / packages / SQL datasets</t>
  </si>
  <si>
    <t xml:space="preserve">Architecture, security, operations, AI readiness</t>
  </si>
  <si>
    <t xml:space="preserve">Architecture hours per distinct target BI tool</t>
  </si>
  <si>
    <t xml:space="preserve">h / tool</t>
  </si>
  <si>
    <t xml:space="preserve">Tenant/workspace design, security, connectivity, CI/CD, performance, standards</t>
  </si>
  <si>
    <t xml:space="preserve">Architecture hours per migration pair</t>
  </si>
  <si>
    <t xml:space="preserve">h / pair</t>
  </si>
  <si>
    <t xml:space="preserve">Pair-specific design decisions</t>
  </si>
  <si>
    <t xml:space="preserve">h / target model</t>
  </si>
  <si>
    <t xml:space="preserve">Security model build and testing per target semantic model</t>
  </si>
  <si>
    <t xml:space="preserve">Row + object-level</t>
  </si>
  <si>
    <t xml:space="preserve">Hours per schedule / subscription / alert</t>
  </si>
  <si>
    <t xml:space="preserve">h / item</t>
  </si>
  <si>
    <t xml:space="preserve">Recreate in target</t>
  </si>
  <si>
    <t xml:space="preserve">Hours per user group</t>
  </si>
  <si>
    <t xml:space="preserve">h / group</t>
  </si>
  <si>
    <t xml:space="preserve">Groups, workspace access</t>
  </si>
  <si>
    <t xml:space="preserve">Training and handover per pair</t>
  </si>
  <si>
    <t xml:space="preserve">Demo, documentation, knowledge transfer</t>
  </si>
  <si>
    <t xml:space="preserve">Placeholder</t>
  </si>
  <si>
    <t xml:space="preserve">AI readiness (descriptions, synonyms, Copilot / Q&amp;A / Amazon Q / Gemini set-up). No baseline yet - BI team to set.</t>
  </si>
  <si>
    <t xml:space="preserve">Advanced</t>
  </si>
  <si>
    <t xml:space="preserve">Automation and deployment</t>
  </si>
  <si>
    <t xml:space="preserve">Automatable share cap - Assessment</t>
  </si>
  <si>
    <t xml:space="preserve">% of phase</t>
  </si>
  <si>
    <t xml:space="preserve">User decision</t>
  </si>
  <si>
    <t xml:space="preserve">Max share of the phase automation can remove (requirements Q6)</t>
  </si>
  <si>
    <t xml:space="preserve">Automatable share cap - Semantic model</t>
  </si>
  <si>
    <t xml:space="preserve">Automatable share cap - Report development</t>
  </si>
  <si>
    <t xml:space="preserve">Automatable share cap - SIT</t>
  </si>
  <si>
    <t xml:space="preserve">Automatable share cap - UAT support</t>
  </si>
  <si>
    <t xml:space="preserve">Automatable share cap - Deployment support</t>
  </si>
  <si>
    <t xml:space="preserve">Automation tool set-up per pair (when any automation &gt; 0)</t>
  </si>
  <si>
    <t xml:space="preserve">Accelerator configuration and runs</t>
  </si>
  <si>
    <t xml:space="preserve">Manual deployment hours per report (no pipeline)</t>
  </si>
  <si>
    <t xml:space="preserve">Old calculator E20</t>
  </si>
  <si>
    <t xml:space="preserve">Contingency and controls</t>
  </si>
  <si>
    <t xml:space="preserve">Tool-assessed</t>
  </si>
  <si>
    <t xml:space="preserve">contingency</t>
  </si>
  <si>
    <t xml:space="preserve">Replaces old flat 15% (B39). Driven by each pair's input confidence.</t>
  </si>
  <si>
    <t xml:space="preserve">Pair factor override - minimum</t>
  </si>
  <si>
    <t xml:space="preserve">Overrides are clamped to this range</t>
  </si>
  <si>
    <t xml:space="preserve">Pair factor override - maximum</t>
  </si>
  <si>
    <t xml:space="preserve">Plan reconciliation tolerance</t>
  </si>
  <si>
    <t xml:space="preserve">+/- %</t>
  </si>
  <si>
    <t xml:space="preserve">Plan hours vs estimate hours</t>
  </si>
  <si>
    <t xml:space="preserve">Hours per pair and per phase. Locked - every value is calculated from Scope, Setup and Baseline.</t>
  </si>
  <si>
    <t xml:space="preserve">Active</t>
  </si>
  <si>
    <t xml:space="preserve">Source archetype</t>
  </si>
  <si>
    <t xml:space="preserve">Target archetype</t>
  </si>
  <si>
    <t xml:space="preserve">Suggested pair factor</t>
  </si>
  <si>
    <t xml:space="preserve">Pair factor used</t>
  </si>
  <si>
    <t xml:space="preserve">Semantic approach</t>
  </si>
  <si>
    <t xml:space="preserve">Approach share</t>
  </si>
  <si>
    <t xml:space="preserve">Data platform change</t>
  </si>
  <si>
    <t xml:space="preserve">Report platform uplift</t>
  </si>
  <si>
    <t xml:space="preserve">Model platform uplift</t>
  </si>
  <si>
    <t xml:space="preserve">Report-type factor</t>
  </si>
  <si>
    <t xml:space="preserve">Saving - assessment</t>
  </si>
  <si>
    <t xml:space="preserve">Saving - semantic</t>
  </si>
  <si>
    <t xml:space="preserve">Saving - reports</t>
  </si>
  <si>
    <t xml:space="preserve">Inventory pages</t>
  </si>
  <si>
    <t xml:space="preserve">Derived reports</t>
  </si>
  <si>
    <t xml:space="preserve">Full-effort reports</t>
  </si>
  <si>
    <t xml:space="preserve">Full-effort pages</t>
  </si>
  <si>
    <t xml:space="preserve">Derived pages</t>
  </si>
  <si>
    <t xml:space="preserve">Consolidated reports</t>
  </si>
  <si>
    <t xml:space="preserve">Mix-weighted h / page</t>
  </si>
  <si>
    <t xml:space="preserve">Report base hours</t>
  </si>
  <si>
    <t xml:space="preserve">Merge hours</t>
  </si>
  <si>
    <t xml:space="preserve">REPORT DEVELOPMENT h</t>
  </si>
  <si>
    <t xml:space="preserve">Target models</t>
  </si>
  <si>
    <t xml:space="preserve">Mix-weighted h / model</t>
  </si>
  <si>
    <t xml:space="preserve">Model build hours</t>
  </si>
  <si>
    <t xml:space="preserve">Consolidation hours</t>
  </si>
  <si>
    <t xml:space="preserve">SEMANTIC MODEL h</t>
  </si>
  <si>
    <t xml:space="preserve">ASSESSMENT (analysis) h</t>
  </si>
  <si>
    <t xml:space="preserve">SECURITY, OPS &amp; HANDOVER h</t>
  </si>
  <si>
    <t xml:space="preserve">AI READINESS h</t>
  </si>
  <si>
    <t xml:space="preserve">Automation set-up h</t>
  </si>
  <si>
    <t xml:space="preserve">Pair direct hours</t>
  </si>
  <si>
    <t xml:space="preserve">Development hours (semantic + reports)</t>
  </si>
  <si>
    <t xml:space="preserve">Wave</t>
  </si>
  <si>
    <t xml:space="preserve">Allocated programme hours</t>
  </si>
  <si>
    <t xml:space="preserve">PAIR TOTAL h (before contingency)</t>
  </si>
  <si>
    <t xml:space="preserve">Contingency h</t>
  </si>
  <si>
    <t xml:space="preserve">Flag: mix not 100%</t>
  </si>
  <si>
    <t xml:space="preserve">Flag: rationalisation &gt; 100%</t>
  </si>
  <si>
    <t xml:space="preserve">Flag: unmapped tool</t>
  </si>
  <si>
    <t xml:space="preserve">Flag: override without reason</t>
  </si>
  <si>
    <t xml:space="preserve">Flag: pages &lt; 1 or no target model</t>
  </si>
  <si>
    <t xml:space="preserve">Programme-level effort (shared across pairs)</t>
  </si>
  <si>
    <t xml:space="preserve">Item</t>
  </si>
  <si>
    <t xml:space="preserve">Basis</t>
  </si>
  <si>
    <t xml:space="preserve">Initiation (programme)</t>
  </si>
  <si>
    <t xml:space="preserve">Interpolated on total inventory pages; old E14 anchors</t>
  </si>
  <si>
    <t xml:space="preserve">Distinct target BI tools</t>
  </si>
  <si>
    <t xml:space="preserve">Count</t>
  </si>
  <si>
    <t xml:space="preserve">Per target tool + per pair</t>
  </si>
  <si>
    <t xml:space="preserve">Per iteration crew x weeks + fixed + final regression</t>
  </si>
  <si>
    <t xml:space="preserve">Per iteration: 1-2 engineers x 1-2 weeks by volume</t>
  </si>
  <si>
    <t xml:space="preserve">Per iteration, plus manual deployment without a pipeline</t>
  </si>
  <si>
    <t xml:space="preserve">Per go-live</t>
  </si>
  <si>
    <t xml:space="preserve">PM FTE x duration; 0 when bundled</t>
  </si>
  <si>
    <t xml:space="preserve">Shared hours allocated to pairs by development hours</t>
  </si>
  <si>
    <t xml:space="preserve">Hours by phase</t>
  </si>
  <si>
    <t xml:space="preserve">% of total</t>
  </si>
  <si>
    <t xml:space="preserve">Total base hours</t>
  </si>
  <si>
    <t xml:space="preserve">Contingency % (weighted by pair input confidence)</t>
  </si>
  <si>
    <t xml:space="preserve">Contingency hours</t>
  </si>
  <si>
    <t xml:space="preserve">Risk reserve hours (Risks tab)</t>
  </si>
  <si>
    <t xml:space="preserve">TOTAL HOURS incl. contingency and risk</t>
  </si>
  <si>
    <t xml:space="preserve">Iterations, windows and milestones (working weeks from the planned start). Locked.</t>
  </si>
  <si>
    <t xml:space="preserve">Assessment weeks</t>
  </si>
  <si>
    <t xml:space="preserve">Assessment end week</t>
  </si>
  <si>
    <t xml:space="preserve">Architecture start week</t>
  </si>
  <si>
    <t xml:space="preserve">Architecture end week</t>
  </si>
  <si>
    <t xml:space="preserve">Development start week (semantic models)</t>
  </si>
  <si>
    <t xml:space="preserve">First report iteration starts (week)</t>
  </si>
  <si>
    <t xml:space="preserve">Report development weeks</t>
  </si>
  <si>
    <t xml:space="preserve">Last report iteration ends (week)</t>
  </si>
  <si>
    <t xml:space="preserve">Semantic model build ends (week)</t>
  </si>
  <si>
    <t xml:space="preserve">Peak report-development team (FTE, before rounding)</t>
  </si>
  <si>
    <t xml:space="preserve">Development hours per iteration</t>
  </si>
  <si>
    <t xml:space="preserve">Report pages delivered per iteration</t>
  </si>
  <si>
    <t xml:space="preserve">SIT engineers per iteration</t>
  </si>
  <si>
    <t xml:space="preserve">UAT support engineers per iteration</t>
  </si>
  <si>
    <t xml:space="preserve">SIT window starts (one iteration behind)</t>
  </si>
  <si>
    <t xml:space="preserve">SIT window ends (incl. final regression)</t>
  </si>
  <si>
    <t xml:space="preserve">UAT window starts (two iterations behind)</t>
  </si>
  <si>
    <t xml:space="preserve">Final go-live week</t>
  </si>
  <si>
    <t xml:space="preserve">Release waves</t>
  </si>
  <si>
    <t xml:space="preserve">Development hours</t>
  </si>
  <si>
    <t xml:space="preserve">Cumulative hours</t>
  </si>
  <si>
    <t xml:space="preserve">Cumulative iterations</t>
  </si>
  <si>
    <t xml:space="preserve">Has scope (wave no.)</t>
  </si>
  <si>
    <t xml:space="preserve">Go-live week</t>
  </si>
  <si>
    <t xml:space="preserve">Last wave with scope</t>
  </si>
  <si>
    <t xml:space="preserve">Releases (go-lives)</t>
  </si>
  <si>
    <t xml:space="preserve">First go-live week</t>
  </si>
  <si>
    <t xml:space="preserve">Hypercare starts (week)</t>
  </si>
  <si>
    <t xml:space="preserve">Programme end week (last go-live + hypercare)</t>
  </si>
  <si>
    <t xml:space="preserve">DURATION (working weeks)</t>
  </si>
  <si>
    <t xml:space="preserve">Duration in calendar weeks (incl. holiday allowance)</t>
  </si>
  <si>
    <t xml:space="preserve">Phase windows (feed the weekly Plan)</t>
  </si>
  <si>
    <t xml:space="preserve">Start week</t>
  </si>
  <si>
    <t xml:space="preserve">End week</t>
  </si>
  <si>
    <t xml:space="preserve">Profile</t>
  </si>
  <si>
    <t xml:space="preserve">Weeks</t>
  </si>
  <si>
    <t xml:space="preserve">Flat</t>
  </si>
  <si>
    <t xml:space="preserve">Ramp</t>
  </si>
  <si>
    <t xml:space="preserve">Milestones</t>
  </si>
  <si>
    <t xml:space="preserve">Date (end of week)</t>
  </si>
  <si>
    <t xml:space="preserve">First semantic models ready</t>
  </si>
  <si>
    <t xml:space="preserve">First report iteration starts</t>
  </si>
  <si>
    <t xml:space="preserve">Last report iteration ends</t>
  </si>
  <si>
    <t xml:space="preserve">Wave 1 go-live</t>
  </si>
  <si>
    <t xml:space="preserve">Wave 2 go-live</t>
  </si>
  <si>
    <t xml:space="preserve">Wave 3 go-live</t>
  </si>
  <si>
    <t xml:space="preserve">Wave 4 go-live</t>
  </si>
  <si>
    <t xml:space="preserve">Wave 5 go-live</t>
  </si>
  <si>
    <t xml:space="preserve">Hypercare exit / programme end</t>
  </si>
  <si>
    <t xml:space="preserve">Weekly resource loading for up to 104 working weeks. Phase hours are spread over their windows; report development ramps up, peaks and ramps down.</t>
  </si>
  <si>
    <t xml:space="preserve">Row</t>
  </si>
  <si>
    <t xml:space="preserve">Start wk</t>
  </si>
  <si>
    <t xml:space="preserve">End wk</t>
  </si>
  <si>
    <t xml:space="preserve">Profile / label</t>
  </si>
  <si>
    <t xml:space="preserve">Working week</t>
  </si>
  <si>
    <t xml:space="preserve">Week starting</t>
  </si>
  <si>
    <t xml:space="preserve">Phase hours per week</t>
  </si>
  <si>
    <t xml:space="preserve">Total phase hours</t>
  </si>
  <si>
    <t xml:space="preserve">Ramp weight (report development)</t>
  </si>
  <si>
    <t xml:space="preserve">Hours by role per week</t>
  </si>
  <si>
    <t xml:space="preserve">Computed headcount (FTE)</t>
  </si>
  <si>
    <t xml:space="preserve">Manual adjustments (+/- FTE) - optional inputs</t>
  </si>
  <si>
    <t xml:space="preserve">Final headcount (FTE) - plan of record</t>
  </si>
  <si>
    <t xml:space="preserve">Plan hours</t>
  </si>
  <si>
    <t xml:space="preserve">Total headcount</t>
  </si>
  <si>
    <t xml:space="preserve">Team summary</t>
  </si>
  <si>
    <t xml:space="preserve">Average team over the engagement (FTE)</t>
  </si>
  <si>
    <t xml:space="preserve">Average team during report iterations (FTE)</t>
  </si>
  <si>
    <t xml:space="preserve">Total person-weeks</t>
  </si>
  <si>
    <t xml:space="preserve">Plan hours vs estimate (variance)</t>
  </si>
  <si>
    <t xml:space="preserve">Cost by role and phase, and the price build-up. Locked.</t>
  </si>
  <si>
    <t xml:space="preserve">Cost by role (estimate hours x role mix x rate card)</t>
  </si>
  <si>
    <t xml:space="preserve">Implied blended rate from role mix</t>
  </si>
  <si>
    <t xml:space="preserve">Onsite (USA) share of hours</t>
  </si>
  <si>
    <t xml:space="preserve">Cost by phase</t>
  </si>
  <si>
    <t xml:space="preserve">Rate used (USD/h)</t>
  </si>
  <si>
    <t xml:space="preserve">Price build-up</t>
  </si>
  <si>
    <t xml:space="preserve">1. Base cost (selected cost mode)</t>
  </si>
  <si>
    <t xml:space="preserve">   Effective rate (USD/h)</t>
  </si>
  <si>
    <t xml:space="preserve">2. Contingency (by input confidence)</t>
  </si>
  <si>
    <t xml:space="preserve">3. Risk reserve (Risks tab)</t>
  </si>
  <si>
    <t xml:space="preserve">   Services before discount</t>
  </si>
  <si>
    <t xml:space="preserve">   Discount on bill rates</t>
  </si>
  <si>
    <t xml:space="preserve">   Services price</t>
  </si>
  <si>
    <t xml:space="preserve">4. Pass-throughs (tools, travel, other)</t>
  </si>
  <si>
    <t xml:space="preserve">5. FIXED PRICE</t>
  </si>
  <si>
    <t xml:space="preserve">Payment milestones</t>
  </si>
  <si>
    <t xml:space="preserve">%</t>
  </si>
  <si>
    <t xml:space="preserve">Amount (USD)</t>
  </si>
  <si>
    <t xml:space="preserve">Assumptions &amp; exclusions</t>
  </si>
  <si>
    <t xml:space="preserve">Attach to the proposal. Every value is live from the input and reference tabs.</t>
  </si>
  <si>
    <t xml:space="preserve">Client / opportunity</t>
  </si>
  <si>
    <t xml:space="preserve">Estimate version and date</t>
  </si>
  <si>
    <t xml:space="preserve">Planned start</t>
  </si>
  <si>
    <t xml:space="preserve">Bundled engagements carry PM in the ETL/EDW programme</t>
  </si>
  <si>
    <t xml:space="preserve">Delivery assumptions</t>
  </si>
  <si>
    <t xml:space="preserve">Peak report-development team (FTE)</t>
  </si>
  <si>
    <t xml:space="preserve">Ramp-up / ramp-down weeks</t>
  </si>
  <si>
    <t xml:space="preserve">SIT: weeks per iteration / engineers / fixed h per iteration</t>
  </si>
  <si>
    <t xml:space="preserve">UAT support: weeks per iteration / engineers</t>
  </si>
  <si>
    <t xml:space="preserve">1 engineer up to the volume threshold, 2 above it</t>
  </si>
  <si>
    <t xml:space="preserve">Deployment support: weeks per iteration / engineers</t>
  </si>
  <si>
    <t xml:space="preserve">Deployment pipeline available</t>
  </si>
  <si>
    <t xml:space="preserve">Hypercare weeks per go-live / crew</t>
  </si>
  <si>
    <t xml:space="preserve">Holiday allowance (calendar dates)</t>
  </si>
  <si>
    <t xml:space="preserve">Automation (global % x automatable cap = saving)</t>
  </si>
  <si>
    <t xml:space="preserve">Estimation basis</t>
  </si>
  <si>
    <t xml:space="preserve">Hours per report page (S / M / C / VC / Derived)</t>
  </si>
  <si>
    <t xml:space="preserve">Carried from the previous calculator</t>
  </si>
  <si>
    <t xml:space="preserve">Learning gain by quarter of iterations</t>
  </si>
  <si>
    <t xml:space="preserve">Semantic model hours (S / M / C / VC)</t>
  </si>
  <si>
    <t xml:space="preserve">Contingency (weighted by input confidence)</t>
  </si>
  <si>
    <t xml:space="preserve">Risk reserve hours</t>
  </si>
  <si>
    <t xml:space="preserve">Cost mode / discount</t>
  </si>
  <si>
    <t xml:space="preserve">Pair overrides (factor overrides must carry a reason)</t>
  </si>
  <si>
    <t xml:space="preserve">Suggested -&gt; used factor</t>
  </si>
  <si>
    <t xml:space="preserve">Reason</t>
  </si>
  <si>
    <t xml:space="preserve">Exclusions</t>
  </si>
  <si>
    <t xml:space="preserve">Data / ETL / EDW migration and data reconciliation of the underlying platform (estimated separately).</t>
  </si>
  <si>
    <t xml:space="preserve">BI and data-platform licences and infrastructure, unless entered as a pass-through.</t>
  </si>
  <si>
    <t xml:space="preserve">Remediation of source data quality issues.</t>
  </si>
  <si>
    <t xml:space="preserve">Reports retired or consolidated by rationalisation (only merge effort is included).</t>
  </si>
  <si>
    <t xml:space="preserve">End-user training beyond the training and handover allowance per pair.</t>
  </si>
  <si>
    <t xml:space="preserve">Work outside the scope rows and risk register in this workbook.</t>
  </si>
  <si>
    <t xml:space="preserve">Every check must PASS before the estimate is quoted. The Summary banner reads from here.</t>
  </si>
  <si>
    <t xml:space="preserve">Check</t>
  </si>
  <si>
    <t xml:space="preserve">Result</t>
  </si>
  <si>
    <t xml:space="preserve">Detail</t>
  </si>
  <si>
    <t xml:space="preserve">At least one active migration pair</t>
  </si>
  <si>
    <t xml:space="preserve">Every active pair maps to source and target archetypes</t>
  </si>
  <si>
    <t xml:space="preserve">Report and semantic-model complexity mixes total 100%</t>
  </si>
  <si>
    <t xml:space="preserve">Retired + Consolidated &lt;= 100% per pair</t>
  </si>
  <si>
    <t xml:space="preserve">Every pair-factor override has a reason</t>
  </si>
  <si>
    <t xml:space="preserve">Pages per report &gt;= 1 and at least one target model per pair</t>
  </si>
  <si>
    <t xml:space="preserve">Role mix rows each total 100%</t>
  </si>
  <si>
    <t xml:space="preserve">Every plan role has a rate</t>
  </si>
  <si>
    <t xml:space="preserve">Payment milestones total 100%</t>
  </si>
  <si>
    <t xml:space="preserve">Plan reconciles to estimate within tolerance</t>
  </si>
  <si>
    <t xml:space="preserve">Duration fits the 104-week plan horizon</t>
  </si>
  <si>
    <t xml:space="preserve">Totals tie: phases = pairs + shared</t>
  </si>
  <si>
    <t xml:space="preserve">Totals tie: role hours = phase hours</t>
  </si>
  <si>
    <t xml:space="preserve">Totals tie: cost by phase = cost by role (role-mix mode)</t>
  </si>
  <si>
    <t xml:space="preserve">No error values in calculation tabs</t>
  </si>
  <si>
    <t xml:space="preserve">Failed checks</t>
  </si>
  <si>
    <t xml:space="preserve">Compare options: copy the Current column and Paste Special &gt; Values into Scenario A, B or C, then change inputs.</t>
  </si>
  <si>
    <t xml:space="preserve">Measure</t>
  </si>
  <si>
    <t xml:space="preserve">Current</t>
  </si>
  <si>
    <t xml:space="preserve">Scenario A</t>
  </si>
  <si>
    <t xml:space="preserve">Scenario B</t>
  </si>
  <si>
    <t xml:space="preserve">Scenario C</t>
  </si>
  <si>
    <t xml:space="preserve">Scenario name</t>
  </si>
  <si>
    <t xml:space="preserve">Fixed price (USD)</t>
  </si>
  <si>
    <t xml:space="preserve">Total hours</t>
  </si>
  <si>
    <t xml:space="preserve">Base hours</t>
  </si>
  <si>
    <t xml:space="preserve">Duration (weeks)</t>
  </si>
  <si>
    <t xml:space="preserve">Report automation</t>
  </si>
  <si>
    <t xml:space="preserve">Change log</t>
  </si>
  <si>
    <t xml:space="preserve">Record every change to inputs, baseline values or formulas.</t>
  </si>
  <si>
    <t xml:space="preserve">Version</t>
  </si>
  <si>
    <t xml:space="preserve">Author</t>
  </si>
  <si>
    <t xml:space="preserve">Change</t>
  </si>
  <si>
    <t xml:space="preserve">v2.0</t>
  </si>
  <si>
    <t xml:space="preserve">BI Estimator build</t>
  </si>
  <si>
    <t xml:space="preserve">First release of v2, built from the approved requirements document.</t>
  </si>
</sst>
</file>

<file path=xl/styles.xml><?xml version="1.0" encoding="utf-8"?>
<styleSheet xmlns="http://schemas.openxmlformats.org/spreadsheetml/2006/main">
  <numFmts count="16">
    <numFmt numFmtId="164" formatCode="General"/>
    <numFmt numFmtId="165" formatCode="\$#,##0;&quot;($&quot;#,##0\);\-"/>
    <numFmt numFmtId="166" formatCode="#,##0;\(#,##0\);\-"/>
    <numFmt numFmtId="167" formatCode="0;\(0\);\-"/>
    <numFmt numFmtId="168" formatCode="dd\-mmm\-yyyy"/>
    <numFmt numFmtId="169" formatCode="#,##0.0;\(#,##0.0\);\-"/>
    <numFmt numFmtId="170" formatCode="0.0%;\(0.0%\);\-"/>
    <numFmt numFmtId="171" formatCode="\$#,##0.00;&quot;($&quot;#,##0.00\);\-"/>
    <numFmt numFmtId="172" formatCode="0%;\(0%\);\-"/>
    <numFmt numFmtId="173" formatCode="0.0"/>
    <numFmt numFmtId="174" formatCode="0.00\x"/>
    <numFmt numFmtId="175" formatCode="0.00"/>
    <numFmt numFmtId="176" formatCode="0.000"/>
    <numFmt numFmtId="177" formatCode="#,##0.00;\(#,##0.00\);\-"/>
    <numFmt numFmtId="178" formatCode="dd\-mmm"/>
    <numFmt numFmtId="179" formatCode="0.0;\-0.0;&quot;&quot;"/>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1"/>
      <color theme="1"/>
      <name val="Arial"/>
      <family val="0"/>
      <charset val="1"/>
    </font>
    <font>
      <i val="true"/>
      <sz val="10"/>
      <color rgb="FF595959"/>
      <name val="Arial"/>
      <family val="0"/>
      <charset val="1"/>
    </font>
    <font>
      <b val="true"/>
      <sz val="12"/>
      <color rgb="FF1F3864"/>
      <name val="Arial"/>
      <family val="0"/>
      <charset val="1"/>
    </font>
    <font>
      <b val="true"/>
      <sz val="10"/>
      <name val="Arial"/>
      <family val="0"/>
      <charset val="1"/>
    </font>
    <font>
      <sz val="10"/>
      <name val="Arial"/>
      <family val="0"/>
      <charset val="1"/>
    </font>
    <font>
      <sz val="10"/>
      <color rgb="FF0000FF"/>
      <name val="Arial"/>
      <family val="0"/>
      <charset val="1"/>
    </font>
    <font>
      <b val="true"/>
      <sz val="10"/>
      <color rgb="FFFFFFFF"/>
      <name val="Arial"/>
      <family val="0"/>
      <charset val="1"/>
    </font>
    <font>
      <b val="true"/>
      <sz val="12"/>
      <name val="Arial"/>
      <family val="0"/>
      <charset val="1"/>
    </font>
    <font>
      <sz val="9"/>
      <color rgb="FF595959"/>
      <name val="Arial"/>
      <family val="0"/>
      <charset val="1"/>
    </font>
    <font>
      <b val="true"/>
      <sz val="18"/>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sz val="10"/>
      <name val="Arial"/>
      <family val="2"/>
    </font>
  </fonts>
  <fills count="7">
    <fill>
      <patternFill patternType="none"/>
    </fill>
    <fill>
      <patternFill patternType="gray125"/>
    </fill>
    <fill>
      <patternFill patternType="solid">
        <fgColor rgb="FFFFF2CC"/>
        <bgColor rgb="FFF2F2F2"/>
      </patternFill>
    </fill>
    <fill>
      <patternFill patternType="solid">
        <fgColor rgb="FF1F3864"/>
        <bgColor rgb="FF333399"/>
      </patternFill>
    </fill>
    <fill>
      <patternFill patternType="solid">
        <fgColor rgb="FFF2F2F2"/>
        <bgColor rgb="FFEDEDED"/>
      </patternFill>
    </fill>
    <fill>
      <patternFill patternType="solid">
        <fgColor rgb="FFD9E1F2"/>
        <bgColor rgb="FFD9D9D9"/>
      </patternFill>
    </fill>
    <fill>
      <patternFill patternType="solid">
        <fgColor rgb="FFEDEDED"/>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13" fillId="4" borderId="0" xfId="0" applyFont="true" applyBorder="true" applyAlignment="true" applyProtection="false">
      <alignment horizontal="center" vertical="center" textRotation="0" wrapText="true" indent="0" shrinkToFit="false"/>
      <protection locked="true" hidden="false"/>
    </xf>
    <xf numFmtId="165" fontId="14" fillId="4" borderId="0" xfId="0" applyFont="true" applyBorder="true" applyAlignment="true" applyProtection="false">
      <alignment horizontal="center" vertical="center" textRotation="0" wrapText="true" indent="0" shrinkToFit="false"/>
      <protection locked="true" hidden="false"/>
    </xf>
    <xf numFmtId="166" fontId="14" fillId="4" borderId="0" xfId="0" applyFont="true" applyBorder="true" applyAlignment="true" applyProtection="false">
      <alignment horizontal="center" vertical="center" textRotation="0" wrapText="true" indent="0" shrinkToFit="false"/>
      <protection locked="true" hidden="false"/>
    </xf>
    <xf numFmtId="167" fontId="14" fillId="4" borderId="0" xfId="0" applyFont="true" applyBorder="true" applyAlignment="true" applyProtection="false">
      <alignment horizontal="center" vertical="center" textRotation="0" wrapText="true" indent="0" shrinkToFit="false"/>
      <protection locked="true" hidden="false"/>
    </xf>
    <xf numFmtId="168" fontId="14" fillId="4"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9" fontId="14" fillId="4" borderId="0"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true">
      <alignment horizontal="general" vertical="bottom" textRotation="0" wrapText="false" indent="0" shrinkToFit="false"/>
      <protection locked="false" hidden="false"/>
    </xf>
    <xf numFmtId="168" fontId="10" fillId="2" borderId="1" xfId="0" applyFont="true" applyBorder="true" applyAlignment="false" applyProtection="true">
      <alignment horizontal="general" vertical="bottom" textRotation="0" wrapText="false" indent="0" shrinkToFit="false"/>
      <protection locked="false" hidden="false"/>
    </xf>
    <xf numFmtId="172" fontId="10" fillId="2" borderId="1" xfId="0" applyFont="true" applyBorder="true" applyAlignment="false" applyProtection="true">
      <alignment horizontal="general" vertical="bottom" textRotation="0" wrapText="false" indent="0" shrinkToFit="false"/>
      <protection locked="false" hidden="false"/>
    </xf>
    <xf numFmtId="171" fontId="10" fillId="2" borderId="1" xfId="0" applyFont="true" applyBorder="true" applyAlignment="false" applyProtection="true">
      <alignment horizontal="general" vertical="bottom" textRotation="0" wrapText="false" indent="0" shrinkToFit="false"/>
      <protection locked="false" hidden="false"/>
    </xf>
    <xf numFmtId="165" fontId="10" fillId="2" borderId="1" xfId="0" applyFont="true" applyBorder="true" applyAlignment="false" applyProtection="true">
      <alignment horizontal="general" vertical="bottom" textRotation="0" wrapText="false" indent="0" shrinkToFit="false"/>
      <protection locked="fals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4" fontId="8" fillId="5" borderId="0" xfId="0" applyFont="true" applyBorder="true" applyAlignment="true" applyProtection="false">
      <alignment horizontal="center" vertical="center" textRotation="0" wrapText="true" indent="0" shrinkToFit="false"/>
      <protection locked="true" hidden="false"/>
    </xf>
    <xf numFmtId="167" fontId="10" fillId="2" borderId="1" xfId="0" applyFont="true" applyBorder="true" applyAlignment="false" applyProtection="true">
      <alignment horizontal="general" vertical="bottom" textRotation="0" wrapText="false" indent="0" shrinkToFit="false"/>
      <protection locked="false" hidden="false"/>
    </xf>
    <xf numFmtId="166" fontId="10" fillId="2" borderId="1" xfId="0" applyFont="true" applyBorder="true" applyAlignment="false" applyProtection="true">
      <alignment horizontal="general" vertical="bottom" textRotation="0" wrapText="false" indent="0" shrinkToFit="false"/>
      <protection locked="false" hidden="false"/>
    </xf>
    <xf numFmtId="173" fontId="10" fillId="2" borderId="1" xfId="0" applyFont="true" applyBorder="true" applyAlignment="false" applyProtection="true">
      <alignment horizontal="general" vertical="bottom" textRotation="0" wrapText="false" indent="0" shrinkToFit="false"/>
      <protection locked="false" hidden="false"/>
    </xf>
    <xf numFmtId="174" fontId="10" fillId="2" borderId="1" xfId="0" applyFont="true" applyBorder="true" applyAlignment="false" applyProtection="true">
      <alignment horizontal="general" vertical="bottom" textRotation="0" wrapText="false" indent="0" shrinkToFit="false"/>
      <protection locked="fals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75" fontId="10" fillId="2" borderId="1" xfId="0" applyFont="true" applyBorder="true" applyAlignment="false" applyProtection="true">
      <alignment horizontal="general" vertical="bottom" textRotation="0" wrapText="false" indent="0" shrinkToFit="false"/>
      <protection locked="false" hidden="false"/>
    </xf>
    <xf numFmtId="176" fontId="10" fillId="2" borderId="1" xfId="0" applyFont="true" applyBorder="true" applyAlignment="false" applyProtection="true">
      <alignment horizontal="general" vertical="bottom" textRotation="0" wrapText="false" indent="0" shrinkToFit="false"/>
      <protection locked="false" hidden="false"/>
    </xf>
    <xf numFmtId="164" fontId="9" fillId="0" borderId="1" xfId="0" applyFont="true" applyBorder="true" applyAlignment="true" applyProtection="false">
      <alignment horizontal="general" vertical="top" textRotation="0" wrapText="true" indent="0" shrinkToFit="false"/>
      <protection locked="true" hidden="false"/>
    </xf>
    <xf numFmtId="169" fontId="10" fillId="2" borderId="1" xfId="0" applyFont="true" applyBorder="true" applyAlignment="false" applyProtection="true">
      <alignment horizontal="general" vertical="bottom" textRotation="0" wrapText="false" indent="0" shrinkToFit="false"/>
      <protection locked="false" hidden="false"/>
    </xf>
    <xf numFmtId="174"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77" fontId="9"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78" fontId="9" fillId="0" borderId="1" xfId="0" applyFont="true" applyBorder="true" applyAlignment="false" applyProtection="false">
      <alignment horizontal="general" vertical="bottom" textRotation="0" wrapText="false" indent="0" shrinkToFit="false"/>
      <protection locked="true" hidden="false"/>
    </xf>
    <xf numFmtId="175" fontId="9" fillId="0" borderId="1" xfId="0" applyFont="true" applyBorder="true" applyAlignment="false" applyProtection="false">
      <alignment horizontal="general" vertical="bottom" textRotation="0" wrapText="false" indent="0" shrinkToFit="false"/>
      <protection locked="true" hidden="false"/>
    </xf>
    <xf numFmtId="179" fontId="9" fillId="0" borderId="1" xfId="0" applyFont="true" applyBorder="true" applyAlignment="false" applyProtection="false">
      <alignment horizontal="general" vertical="bottom" textRotation="0" wrapText="false" indent="0" shrinkToFit="false"/>
      <protection locked="true" hidden="false"/>
    </xf>
    <xf numFmtId="179" fontId="10" fillId="2" borderId="1" xfId="0" applyFont="true" applyBorder="true" applyAlignment="false" applyProtection="true">
      <alignment horizontal="general" vertical="bottom" textRotation="0" wrapText="false" indent="0" shrinkToFit="false"/>
      <protection locked="false" hidden="false"/>
    </xf>
    <xf numFmtId="179"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0" fontId="10" fillId="2" borderId="1" xfId="0" applyFont="true" applyBorder="true" applyAlignment="fals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C6EFCE"/>
        </patternFill>
      </fill>
    </dxf>
    <dxf>
      <fill>
        <patternFill>
          <bgColor rgb="FFFFC7CE"/>
        </patternFill>
      </fill>
    </dxf>
    <dxf>
      <fill>
        <patternFill>
          <bgColor rgb="FFBDD7EE"/>
        </patternFill>
      </fill>
    </dxf>
    <dxf>
      <fill>
        <patternFill>
          <bgColor rgb="FFC6E0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3A9CE"/>
      <rgbColor rgb="FFAB4744"/>
      <rgbColor rgb="FFFFF2CC"/>
      <rgbColor rgb="FFF2F2F2"/>
      <rgbColor rgb="FF660066"/>
      <rgbColor rgb="FFDC853E"/>
      <rgbColor rgb="FF0066CC"/>
      <rgbColor rgb="FFBDD7EE"/>
      <rgbColor rgb="FF000080"/>
      <rgbColor rgb="FFFF00FF"/>
      <rgbColor rgb="FFFFFF00"/>
      <rgbColor rgb="FF00FFFF"/>
      <rgbColor rgb="FF800080"/>
      <rgbColor rgb="FF800000"/>
      <rgbColor rgb="FF008080"/>
      <rgbColor rgb="FF0000FF"/>
      <rgbColor rgb="FF00CCFF"/>
      <rgbColor rgb="FFEDEDED"/>
      <rgbColor rgb="FFC6EFCE"/>
      <rgbColor rgb="FFD9D9D9"/>
      <rgbColor rgb="FFC6E0B4"/>
      <rgbColor rgb="FFD09493"/>
      <rgbColor rgb="FFD9E1F2"/>
      <rgbColor rgb="FFFFC7CE"/>
      <rgbColor rgb="FF4672A8"/>
      <rgbColor rgb="FF33CCCC"/>
      <rgbColor rgb="FF99CC00"/>
      <rgbColor rgb="FFFFCC00"/>
      <rgbColor rgb="FFFF9900"/>
      <rgbColor rgb="FFFF6600"/>
      <rgbColor rgb="FF725990"/>
      <rgbColor rgb="FF8AA64F"/>
      <rgbColor rgb="FF1F3864"/>
      <rgbColor rgb="FF4299B0"/>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Weekly headcount by role (FTE)</a:t>
            </a:r>
          </a:p>
        </c:rich>
      </c:tx>
      <c:overlay val="0"/>
      <c:spPr>
        <a:noFill/>
        <a:ln w="0">
          <a:noFill/>
        </a:ln>
      </c:spPr>
    </c:title>
    <c:autoTitleDeleted val="0"/>
    <c:plotArea>
      <c:barChart>
        <c:barDir val="col"/>
        <c:grouping val="stacked"/>
        <c:varyColors val="0"/>
        <c:ser>
          <c:idx val="0"/>
          <c:order val="0"/>
          <c:tx>
            <c:strRef>
              <c:f>Plan!E53</c:f>
              <c:strCache>
                <c:ptCount val="1"/>
                <c:pt idx="0">
                  <c:v>Delivery manager / PM</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Plan!$F$5:$DE$5</c:f>
              <c:strCache>
                <c:ptCount val="1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strCache>
            </c:strRef>
          </c:cat>
          <c:val>
            <c:numRef>
              <c:f>Plan!$F$53:$DE$53</c:f>
              <c:numCache>
                <c:formatCode>0.0;\-0.0;""</c:formatCode>
                <c:ptCount val="10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numCache>
            </c:numRef>
          </c:val>
        </c:ser>
        <c:ser>
          <c:idx val="1"/>
          <c:order val="1"/>
          <c:tx>
            <c:strRef>
              <c:f>Plan!E54</c:f>
              <c:strCache>
                <c:ptCount val="1"/>
                <c:pt idx="0">
                  <c:v>Onsite architect</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Plan!$F$5:$DE$5</c:f>
              <c:strCache>
                <c:ptCount val="1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strCache>
            </c:strRef>
          </c:cat>
          <c:val>
            <c:numRef>
              <c:f>Plan!$F$54:$DE$54</c:f>
              <c:numCache>
                <c:formatCode>0.0;\-0.0;""</c:formatCode>
                <c:ptCount val="104"/>
                <c:pt idx="0">
                  <c:v>0.5</c:v>
                </c:pt>
                <c:pt idx="1">
                  <c:v>0.5</c:v>
                </c:pt>
                <c:pt idx="2">
                  <c:v>0.5</c:v>
                </c:pt>
                <c:pt idx="3">
                  <c:v>1</c:v>
                </c:pt>
                <c:pt idx="4">
                  <c:v>1</c:v>
                </c:pt>
                <c:pt idx="5">
                  <c:v>0.5</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numCache>
            </c:numRef>
          </c:val>
        </c:ser>
        <c:ser>
          <c:idx val="2"/>
          <c:order val="2"/>
          <c:tx>
            <c:strRef>
              <c:f>Plan!E55</c:f>
              <c:strCache>
                <c:ptCount val="1"/>
                <c:pt idx="0">
                  <c:v>Solution architect</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Plan!$F$5:$DE$5</c:f>
              <c:strCache>
                <c:ptCount val="1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strCache>
            </c:strRef>
          </c:cat>
          <c:val>
            <c:numRef>
              <c:f>Plan!$F$55:$DE$55</c:f>
              <c:numCache>
                <c:formatCode>0.0;\-0.0;""</c:formatCode>
                <c:ptCount val="104"/>
                <c:pt idx="0">
                  <c:v>1</c:v>
                </c:pt>
                <c:pt idx="1">
                  <c:v>1</c:v>
                </c:pt>
                <c:pt idx="2">
                  <c:v>1</c:v>
                </c:pt>
                <c:pt idx="3">
                  <c:v>1.5</c:v>
                </c:pt>
                <c:pt idx="4">
                  <c:v>1.5</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numCache>
            </c:numRef>
          </c:val>
        </c:ser>
        <c:ser>
          <c:idx val="3"/>
          <c:order val="3"/>
          <c:tx>
            <c:strRef>
              <c:f>Plan!E56</c:f>
              <c:strCache>
                <c:ptCount val="1"/>
                <c:pt idx="0">
                  <c:v>BI architect</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Plan!$F$5:$DE$5</c:f>
              <c:strCache>
                <c:ptCount val="1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strCache>
            </c:strRef>
          </c:cat>
          <c:val>
            <c:numRef>
              <c:f>Plan!$F$56:$DE$56</c:f>
              <c:numCache>
                <c:formatCode>0.0;\-0.0;""</c:formatCode>
                <c:ptCount val="104"/>
                <c:pt idx="0">
                  <c:v>1</c:v>
                </c:pt>
                <c:pt idx="1">
                  <c:v>1</c:v>
                </c:pt>
                <c:pt idx="2">
                  <c:v>1</c:v>
                </c:pt>
                <c:pt idx="3">
                  <c:v>1.5</c:v>
                </c:pt>
                <c:pt idx="4">
                  <c:v>1.5</c:v>
                </c:pt>
                <c:pt idx="5">
                  <c:v>1</c:v>
                </c:pt>
                <c:pt idx="6">
                  <c:v>0.5</c:v>
                </c:pt>
                <c:pt idx="7">
                  <c:v>0.5</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numCache>
            </c:numRef>
          </c:val>
        </c:ser>
        <c:ser>
          <c:idx val="4"/>
          <c:order val="4"/>
          <c:tx>
            <c:strRef>
              <c:f>Plan!E57</c:f>
              <c:strCache>
                <c:ptCount val="1"/>
                <c:pt idx="0">
                  <c:v>Lead</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Plan!$F$5:$DE$5</c:f>
              <c:strCache>
                <c:ptCount val="1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strCache>
            </c:strRef>
          </c:cat>
          <c:val>
            <c:numRef>
              <c:f>Plan!$F$57:$DE$57</c:f>
              <c:numCache>
                <c:formatCode>0.0;\-0.0;""</c:formatCode>
                <c:ptCount val="104"/>
                <c:pt idx="0">
                  <c:v>0.5</c:v>
                </c:pt>
                <c:pt idx="1">
                  <c:v>0.5</c:v>
                </c:pt>
                <c:pt idx="2">
                  <c:v>0.5</c:v>
                </c:pt>
                <c:pt idx="3">
                  <c:v>0.5</c:v>
                </c:pt>
                <c:pt idx="4">
                  <c:v>0.5</c:v>
                </c:pt>
                <c:pt idx="5">
                  <c:v>0.5</c:v>
                </c:pt>
                <c:pt idx="6">
                  <c:v>0.5</c:v>
                </c:pt>
                <c:pt idx="7">
                  <c:v>0.5</c:v>
                </c:pt>
                <c:pt idx="8">
                  <c:v>1</c:v>
                </c:pt>
                <c:pt idx="9">
                  <c:v>1.5</c:v>
                </c:pt>
                <c:pt idx="10">
                  <c:v>1.5</c:v>
                </c:pt>
                <c:pt idx="11">
                  <c:v>2</c:v>
                </c:pt>
                <c:pt idx="12">
                  <c:v>2</c:v>
                </c:pt>
                <c:pt idx="13">
                  <c:v>2</c:v>
                </c:pt>
                <c:pt idx="14">
                  <c:v>2</c:v>
                </c:pt>
                <c:pt idx="15">
                  <c:v>2</c:v>
                </c:pt>
                <c:pt idx="16">
                  <c:v>2</c:v>
                </c:pt>
                <c:pt idx="17">
                  <c:v>2</c:v>
                </c:pt>
                <c:pt idx="18">
                  <c:v>1.5</c:v>
                </c:pt>
                <c:pt idx="19">
                  <c:v>1.5</c:v>
                </c:pt>
                <c:pt idx="20">
                  <c:v>1.5</c:v>
                </c:pt>
                <c:pt idx="21">
                  <c:v>1.5</c:v>
                </c:pt>
                <c:pt idx="22">
                  <c:v>1.5</c:v>
                </c:pt>
                <c:pt idx="23">
                  <c:v>1.5</c:v>
                </c:pt>
                <c:pt idx="24">
                  <c:v>1.5</c:v>
                </c:pt>
                <c:pt idx="25">
                  <c:v>1</c:v>
                </c:pt>
                <c:pt idx="26">
                  <c:v>1</c:v>
                </c:pt>
                <c:pt idx="27">
                  <c:v>1</c:v>
                </c:pt>
                <c:pt idx="28">
                  <c:v>1</c:v>
                </c:pt>
                <c:pt idx="29">
                  <c:v>1</c:v>
                </c:pt>
                <c:pt idx="30">
                  <c:v>1</c:v>
                </c:pt>
                <c:pt idx="31">
                  <c:v>0.5</c:v>
                </c:pt>
                <c:pt idx="32">
                  <c:v>0.5</c:v>
                </c:pt>
                <c:pt idx="33">
                  <c:v>0.5</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numCache>
            </c:numRef>
          </c:val>
        </c:ser>
        <c:ser>
          <c:idx val="5"/>
          <c:order val="5"/>
          <c:tx>
            <c:strRef>
              <c:f>Plan!E58</c:f>
              <c:strCache>
                <c:ptCount val="1"/>
                <c:pt idx="0">
                  <c:v>Sr. engineer</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Plan!$F$5:$DE$5</c:f>
              <c:strCache>
                <c:ptCount val="1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strCache>
            </c:strRef>
          </c:cat>
          <c:val>
            <c:numRef>
              <c:f>Plan!$F$58:$DE$58</c:f>
              <c:numCache>
                <c:formatCode>0.0;\-0.0;""</c:formatCode>
                <c:ptCount val="104"/>
                <c:pt idx="0">
                  <c:v>0</c:v>
                </c:pt>
                <c:pt idx="1">
                  <c:v>0</c:v>
                </c:pt>
                <c:pt idx="2">
                  <c:v>0</c:v>
                </c:pt>
                <c:pt idx="3">
                  <c:v>0</c:v>
                </c:pt>
                <c:pt idx="4">
                  <c:v>0</c:v>
                </c:pt>
                <c:pt idx="5">
                  <c:v>0</c:v>
                </c:pt>
                <c:pt idx="6">
                  <c:v>2.5</c:v>
                </c:pt>
                <c:pt idx="7">
                  <c:v>2.5</c:v>
                </c:pt>
                <c:pt idx="8">
                  <c:v>3.5</c:v>
                </c:pt>
                <c:pt idx="9">
                  <c:v>4</c:v>
                </c:pt>
                <c:pt idx="10">
                  <c:v>5</c:v>
                </c:pt>
                <c:pt idx="11">
                  <c:v>5.5</c:v>
                </c:pt>
                <c:pt idx="12">
                  <c:v>6</c:v>
                </c:pt>
                <c:pt idx="13">
                  <c:v>6</c:v>
                </c:pt>
                <c:pt idx="14">
                  <c:v>6</c:v>
                </c:pt>
                <c:pt idx="15">
                  <c:v>6</c:v>
                </c:pt>
                <c:pt idx="16">
                  <c:v>6</c:v>
                </c:pt>
                <c:pt idx="17">
                  <c:v>6</c:v>
                </c:pt>
                <c:pt idx="18">
                  <c:v>3.5</c:v>
                </c:pt>
                <c:pt idx="19">
                  <c:v>3.5</c:v>
                </c:pt>
                <c:pt idx="20">
                  <c:v>3.5</c:v>
                </c:pt>
                <c:pt idx="21">
                  <c:v>3.5</c:v>
                </c:pt>
                <c:pt idx="22">
                  <c:v>3.5</c:v>
                </c:pt>
                <c:pt idx="23">
                  <c:v>3.5</c:v>
                </c:pt>
                <c:pt idx="24">
                  <c:v>3.5</c:v>
                </c:pt>
                <c:pt idx="25">
                  <c:v>3</c:v>
                </c:pt>
                <c:pt idx="26">
                  <c:v>2.5</c:v>
                </c:pt>
                <c:pt idx="27">
                  <c:v>2</c:v>
                </c:pt>
                <c:pt idx="28">
                  <c:v>1</c:v>
                </c:pt>
                <c:pt idx="29">
                  <c:v>1</c:v>
                </c:pt>
                <c:pt idx="30">
                  <c:v>1</c:v>
                </c:pt>
                <c:pt idx="31">
                  <c:v>1</c:v>
                </c:pt>
                <c:pt idx="32">
                  <c:v>1</c:v>
                </c:pt>
                <c:pt idx="33">
                  <c:v>1</c:v>
                </c:pt>
                <c:pt idx="34">
                  <c:v>0.5</c:v>
                </c:pt>
                <c:pt idx="35">
                  <c:v>0.5</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numCache>
            </c:numRef>
          </c:val>
        </c:ser>
        <c:ser>
          <c:idx val="6"/>
          <c:order val="6"/>
          <c:tx>
            <c:strRef>
              <c:f>Plan!E59</c:f>
              <c:strCache>
                <c:ptCount val="1"/>
                <c:pt idx="0">
                  <c:v>Engineer</c:v>
                </c:pt>
              </c:strCache>
            </c:strRef>
          </c:tx>
          <c:spPr>
            <a:solidFill>
              <a:srgbClr val="93a9c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Plan!$F$5:$DE$5</c:f>
              <c:strCache>
                <c:ptCount val="1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strCache>
            </c:strRef>
          </c:cat>
          <c:val>
            <c:numRef>
              <c:f>Plan!$F$59:$DE$59</c:f>
              <c:numCache>
                <c:formatCode>0.0;\-0.0;""</c:formatCode>
                <c:ptCount val="104"/>
                <c:pt idx="0">
                  <c:v>0</c:v>
                </c:pt>
                <c:pt idx="1">
                  <c:v>0</c:v>
                </c:pt>
                <c:pt idx="2">
                  <c:v>0</c:v>
                </c:pt>
                <c:pt idx="3">
                  <c:v>0</c:v>
                </c:pt>
                <c:pt idx="4">
                  <c:v>0</c:v>
                </c:pt>
                <c:pt idx="5">
                  <c:v>0</c:v>
                </c:pt>
                <c:pt idx="6">
                  <c:v>1</c:v>
                </c:pt>
                <c:pt idx="7">
                  <c:v>1</c:v>
                </c:pt>
                <c:pt idx="8">
                  <c:v>2.5</c:v>
                </c:pt>
                <c:pt idx="9">
                  <c:v>3.5</c:v>
                </c:pt>
                <c:pt idx="10">
                  <c:v>5.5</c:v>
                </c:pt>
                <c:pt idx="11">
                  <c:v>7</c:v>
                </c:pt>
                <c:pt idx="12">
                  <c:v>7</c:v>
                </c:pt>
                <c:pt idx="13">
                  <c:v>7</c:v>
                </c:pt>
                <c:pt idx="14">
                  <c:v>7</c:v>
                </c:pt>
                <c:pt idx="15">
                  <c:v>7</c:v>
                </c:pt>
                <c:pt idx="16">
                  <c:v>7</c:v>
                </c:pt>
                <c:pt idx="17">
                  <c:v>7</c:v>
                </c:pt>
                <c:pt idx="18">
                  <c:v>6</c:v>
                </c:pt>
                <c:pt idx="19">
                  <c:v>6</c:v>
                </c:pt>
                <c:pt idx="20">
                  <c:v>6</c:v>
                </c:pt>
                <c:pt idx="21">
                  <c:v>6</c:v>
                </c:pt>
                <c:pt idx="22">
                  <c:v>6</c:v>
                </c:pt>
                <c:pt idx="23">
                  <c:v>6</c:v>
                </c:pt>
                <c:pt idx="24">
                  <c:v>6</c:v>
                </c:pt>
                <c:pt idx="25">
                  <c:v>4.5</c:v>
                </c:pt>
                <c:pt idx="26">
                  <c:v>3.5</c:v>
                </c:pt>
                <c:pt idx="27">
                  <c:v>2</c:v>
                </c:pt>
                <c:pt idx="28">
                  <c:v>1</c:v>
                </c:pt>
                <c:pt idx="29">
                  <c:v>1</c:v>
                </c:pt>
                <c:pt idx="30">
                  <c:v>1</c:v>
                </c:pt>
                <c:pt idx="31">
                  <c:v>0.5</c:v>
                </c:pt>
                <c:pt idx="32">
                  <c:v>0.5</c:v>
                </c:pt>
                <c:pt idx="33">
                  <c:v>0.5</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numCache>
            </c:numRef>
          </c:val>
        </c:ser>
        <c:ser>
          <c:idx val="7"/>
          <c:order val="7"/>
          <c:tx>
            <c:strRef>
              <c:f>Plan!E60</c:f>
              <c:strCache>
                <c:ptCount val="1"/>
                <c:pt idx="0">
                  <c:v>QA engineer</c:v>
                </c:pt>
              </c:strCache>
            </c:strRef>
          </c:tx>
          <c:spPr>
            <a:solidFill>
              <a:srgbClr val="d09493"/>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Plan!$F$5:$DE$5</c:f>
              <c:strCache>
                <c:ptCount val="1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strCache>
            </c:strRef>
          </c:cat>
          <c:val>
            <c:numRef>
              <c:f>Plan!$F$60:$DE$60</c:f>
              <c:numCache>
                <c:formatCode>0.0;\-0.0;""</c:formatCode>
                <c:ptCount val="104"/>
                <c:pt idx="0">
                  <c:v>0</c:v>
                </c:pt>
                <c:pt idx="1">
                  <c:v>0</c:v>
                </c:pt>
                <c:pt idx="2">
                  <c:v>0</c:v>
                </c:pt>
                <c:pt idx="3">
                  <c:v>0</c:v>
                </c:pt>
                <c:pt idx="4">
                  <c:v>0</c:v>
                </c:pt>
                <c:pt idx="5">
                  <c:v>0</c:v>
                </c:pt>
                <c:pt idx="6">
                  <c:v>0</c:v>
                </c:pt>
                <c:pt idx="7">
                  <c:v>0</c:v>
                </c:pt>
                <c:pt idx="8">
                  <c:v>0</c:v>
                </c:pt>
                <c:pt idx="9">
                  <c:v>0</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numCache>
            </c:numRef>
          </c:val>
        </c:ser>
        <c:gapWidth val="20"/>
        <c:overlap val="100"/>
        <c:axId val="76716621"/>
        <c:axId val="51213319"/>
      </c:barChart>
      <c:catAx>
        <c:axId val="7671662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Working week</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213319"/>
        <c:crosses val="autoZero"/>
        <c:auto val="1"/>
        <c:lblAlgn val="ctr"/>
        <c:lblOffset val="100"/>
        <c:noMultiLvlLbl val="0"/>
      </c:catAx>
      <c:valAx>
        <c:axId val="5121331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FTE</a:t>
                </a:r>
              </a:p>
            </c:rich>
          </c:tx>
          <c:overlay val="0"/>
          <c:spPr>
            <a:noFill/>
            <a:ln w="0">
              <a:noFill/>
            </a:ln>
          </c:spPr>
        </c:title>
        <c:numFmt formatCode="0.0;\-0.0;&quot;&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71662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40</xdr:row>
      <xdr:rowOff>130680</xdr:rowOff>
    </xdr:from>
    <xdr:to>
      <xdr:col>16</xdr:col>
      <xdr:colOff>288000</xdr:colOff>
      <xdr:row>57</xdr:row>
      <xdr:rowOff>131760</xdr:rowOff>
    </xdr:to>
    <xdr:graphicFrame>
      <xdr:nvGraphicFramePr>
        <xdr:cNvPr id="0" name="Chart 1"/>
        <xdr:cNvGraphicFramePr/>
      </xdr:nvGraphicFramePr>
      <xdr:xfrm>
        <a:off x="7964640" y="8877240"/>
        <a:ext cx="93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100"/>
  </cols>
  <sheetData>
    <row r="1" customFormat="false" ht="19.7" hidden="false" customHeight="false" outlineLevel="0" collapsed="false">
      <c r="A1" s="1" t="s">
        <v>0</v>
      </c>
      <c r="B1" s="2"/>
      <c r="C1" s="2"/>
    </row>
    <row r="2" customFormat="false" ht="15" hidden="false" customHeight="false" outlineLevel="0" collapsed="false">
      <c r="A2" s="3" t="s">
        <v>1</v>
      </c>
      <c r="B2" s="2"/>
      <c r="C2" s="2"/>
    </row>
    <row r="3" customFormat="false" ht="15" hidden="false" customHeight="false" outlineLevel="0" collapsed="false">
      <c r="A3" s="2"/>
      <c r="B3" s="2"/>
      <c r="C3" s="2"/>
    </row>
    <row r="4" customFormat="false" ht="15" hidden="false" customHeight="false" outlineLevel="0" collapsed="false">
      <c r="A4" s="2"/>
      <c r="B4" s="4" t="s">
        <v>2</v>
      </c>
      <c r="C4" s="2"/>
    </row>
    <row r="5" customFormat="false" ht="23.85" hidden="false" customHeight="false" outlineLevel="0" collapsed="false">
      <c r="A5" s="2"/>
      <c r="B5" s="5" t="s">
        <v>3</v>
      </c>
      <c r="C5" s="6" t="s">
        <v>4</v>
      </c>
    </row>
    <row r="6" customFormat="false" ht="23.85" hidden="false" customHeight="false" outlineLevel="0" collapsed="false">
      <c r="A6" s="2"/>
      <c r="B6" s="5" t="s">
        <v>5</v>
      </c>
      <c r="C6" s="6" t="s">
        <v>6</v>
      </c>
    </row>
    <row r="7" customFormat="false" ht="15" hidden="false" customHeight="false" outlineLevel="0" collapsed="false">
      <c r="A7" s="2"/>
      <c r="B7" s="5" t="s">
        <v>7</v>
      </c>
      <c r="C7" s="6" t="s">
        <v>8</v>
      </c>
    </row>
    <row r="8" customFormat="false" ht="15" hidden="false" customHeight="false" outlineLevel="0" collapsed="false">
      <c r="A8" s="2"/>
      <c r="B8" s="5" t="s">
        <v>9</v>
      </c>
      <c r="C8" s="6" t="s">
        <v>10</v>
      </c>
    </row>
    <row r="9" customFormat="false" ht="15" hidden="false" customHeight="false" outlineLevel="0" collapsed="false">
      <c r="A9" s="2"/>
      <c r="B9" s="5" t="s">
        <v>11</v>
      </c>
      <c r="C9" s="6" t="s">
        <v>12</v>
      </c>
    </row>
    <row r="10" customFormat="false" ht="15" hidden="false" customHeight="false" outlineLevel="0" collapsed="false">
      <c r="A10" s="2"/>
      <c r="B10" s="5" t="s">
        <v>13</v>
      </c>
      <c r="C10" s="6" t="s">
        <v>14</v>
      </c>
    </row>
    <row r="11" customFormat="false" ht="23.85" hidden="false" customHeight="false" outlineLevel="0" collapsed="false">
      <c r="A11" s="2"/>
      <c r="B11" s="5" t="s">
        <v>15</v>
      </c>
      <c r="C11" s="6" t="s">
        <v>16</v>
      </c>
    </row>
    <row r="12" customFormat="false" ht="15" hidden="false" customHeight="false" outlineLevel="0" collapsed="false">
      <c r="A12" s="2"/>
      <c r="B12" s="2"/>
      <c r="C12" s="2"/>
    </row>
    <row r="13" customFormat="false" ht="15" hidden="false" customHeight="false" outlineLevel="0" collapsed="false">
      <c r="A13" s="2"/>
      <c r="B13" s="4" t="s">
        <v>17</v>
      </c>
      <c r="C13" s="2"/>
    </row>
    <row r="14" customFormat="false" ht="15" hidden="false" customHeight="false" outlineLevel="0" collapsed="false">
      <c r="A14" s="2"/>
      <c r="B14" s="7" t="s">
        <v>18</v>
      </c>
      <c r="C14" s="8" t="s">
        <v>19</v>
      </c>
    </row>
    <row r="15" customFormat="false" ht="15" hidden="false" customHeight="false" outlineLevel="0" collapsed="false">
      <c r="A15" s="2"/>
      <c r="B15" s="9" t="s">
        <v>20</v>
      </c>
      <c r="C15" s="8" t="s">
        <v>21</v>
      </c>
    </row>
    <row r="16" customFormat="false" ht="15" hidden="false" customHeight="false" outlineLevel="0" collapsed="false">
      <c r="A16" s="2"/>
      <c r="B16" s="10" t="s">
        <v>22</v>
      </c>
      <c r="C16" s="8" t="s">
        <v>23</v>
      </c>
    </row>
    <row r="17" customFormat="false" ht="15" hidden="false" customHeight="false" outlineLevel="0" collapsed="false">
      <c r="A17" s="2"/>
      <c r="B17" s="2"/>
      <c r="C17" s="2"/>
    </row>
    <row r="18" customFormat="false" ht="15" hidden="false" customHeight="false" outlineLevel="0" collapsed="false">
      <c r="A18" s="2"/>
      <c r="B18" s="4" t="s">
        <v>24</v>
      </c>
      <c r="C18" s="2"/>
    </row>
    <row r="19" customFormat="false" ht="15" hidden="false" customHeight="false" outlineLevel="0" collapsed="false">
      <c r="A19" s="2"/>
      <c r="B19" s="5" t="s">
        <v>25</v>
      </c>
      <c r="C19" s="8" t="s">
        <v>26</v>
      </c>
    </row>
    <row r="20" customFormat="false" ht="15" hidden="false" customHeight="false" outlineLevel="0" collapsed="false">
      <c r="A20" s="2"/>
      <c r="B20" s="5" t="s">
        <v>27</v>
      </c>
      <c r="C20" s="8" t="s">
        <v>28</v>
      </c>
    </row>
    <row r="21" customFormat="false" ht="15" hidden="false" customHeight="false" outlineLevel="0" collapsed="false">
      <c r="A21" s="2"/>
      <c r="B21" s="5" t="s">
        <v>29</v>
      </c>
      <c r="C21" s="8" t="s">
        <v>30</v>
      </c>
    </row>
    <row r="22" customFormat="false" ht="15" hidden="false" customHeight="false" outlineLevel="0" collapsed="false">
      <c r="A22" s="2"/>
      <c r="B22" s="5" t="s">
        <v>31</v>
      </c>
      <c r="C22" s="8" t="s">
        <v>32</v>
      </c>
    </row>
    <row r="23" customFormat="false" ht="15" hidden="false" customHeight="false" outlineLevel="0" collapsed="false">
      <c r="A23" s="2"/>
      <c r="B23" s="5" t="s">
        <v>33</v>
      </c>
      <c r="C23" s="8" t="s">
        <v>34</v>
      </c>
    </row>
    <row r="24" customFormat="false" ht="15" hidden="false" customHeight="false" outlineLevel="0" collapsed="false">
      <c r="A24" s="2"/>
      <c r="B24" s="5" t="s">
        <v>35</v>
      </c>
      <c r="C24" s="8" t="s">
        <v>36</v>
      </c>
    </row>
    <row r="25" customFormat="false" ht="15" hidden="false" customHeight="false" outlineLevel="0" collapsed="false">
      <c r="A25" s="2"/>
      <c r="B25" s="5" t="s">
        <v>37</v>
      </c>
      <c r="C25" s="8" t="s">
        <v>38</v>
      </c>
    </row>
    <row r="26" customFormat="false" ht="15" hidden="false" customHeight="false" outlineLevel="0" collapsed="false">
      <c r="A26" s="2"/>
      <c r="B26" s="5" t="s">
        <v>39</v>
      </c>
      <c r="C26" s="8" t="s">
        <v>40</v>
      </c>
    </row>
    <row r="27" customFormat="false" ht="15" hidden="false" customHeight="false" outlineLevel="0" collapsed="false">
      <c r="A27" s="2"/>
      <c r="B27" s="5" t="s">
        <v>41</v>
      </c>
      <c r="C27" s="8" t="s">
        <v>42</v>
      </c>
    </row>
    <row r="28" customFormat="false" ht="15" hidden="false" customHeight="false" outlineLevel="0" collapsed="false">
      <c r="A28" s="2"/>
      <c r="B28" s="5" t="s">
        <v>43</v>
      </c>
      <c r="C28" s="8" t="s">
        <v>44</v>
      </c>
    </row>
    <row r="29" customFormat="false" ht="15" hidden="false" customHeight="false" outlineLevel="0" collapsed="false">
      <c r="A29" s="2"/>
      <c r="B29" s="5" t="s">
        <v>45</v>
      </c>
      <c r="C29" s="8" t="s">
        <v>46</v>
      </c>
    </row>
    <row r="30" customFormat="false" ht="15" hidden="false" customHeight="false" outlineLevel="0" collapsed="false">
      <c r="A30" s="2"/>
      <c r="B30" s="5" t="s">
        <v>47</v>
      </c>
      <c r="C30" s="8" t="s">
        <v>48</v>
      </c>
    </row>
    <row r="31" customFormat="false" ht="15" hidden="false" customHeight="false" outlineLevel="0" collapsed="false">
      <c r="A31" s="2"/>
      <c r="B31" s="5" t="s">
        <v>49</v>
      </c>
      <c r="C31" s="8" t="s">
        <v>50</v>
      </c>
    </row>
    <row r="32" customFormat="false" ht="15" hidden="false" customHeight="false" outlineLevel="0" collapsed="false">
      <c r="A32" s="2"/>
      <c r="B32" s="5" t="s">
        <v>51</v>
      </c>
      <c r="C32" s="8" t="s">
        <v>52</v>
      </c>
    </row>
    <row r="33" customFormat="false" ht="15" hidden="false" customHeight="false" outlineLevel="0" collapsed="false">
      <c r="A33" s="2"/>
      <c r="B33" s="5" t="s">
        <v>53</v>
      </c>
      <c r="C33" s="8" t="s">
        <v>54</v>
      </c>
    </row>
    <row r="34" customFormat="false" ht="15" hidden="false" customHeight="false" outlineLevel="0" collapsed="false">
      <c r="A34" s="2"/>
      <c r="B34" s="5" t="s">
        <v>55</v>
      </c>
      <c r="C34" s="8" t="s">
        <v>56</v>
      </c>
    </row>
    <row r="35" customFormat="false" ht="15" hidden="false" customHeight="false" outlineLevel="0" collapsed="false">
      <c r="A35" s="2"/>
      <c r="B35" s="2"/>
      <c r="C35" s="2"/>
    </row>
    <row r="36" customFormat="false" ht="15" hidden="false" customHeight="false" outlineLevel="0" collapsed="false">
      <c r="A36" s="2"/>
      <c r="B36" s="4" t="s">
        <v>57</v>
      </c>
      <c r="C36" s="2"/>
    </row>
    <row r="37" customFormat="false" ht="23.85" hidden="false" customHeight="false" outlineLevel="0" collapsed="false">
      <c r="A37" s="2"/>
      <c r="B37" s="2"/>
      <c r="C37" s="6" t="s">
        <v>58</v>
      </c>
    </row>
    <row r="38" customFormat="false" ht="23.85" hidden="false" customHeight="false" outlineLevel="0" collapsed="false">
      <c r="A38" s="2"/>
      <c r="B38" s="2"/>
      <c r="C38" s="6" t="s">
        <v>59</v>
      </c>
    </row>
    <row r="39" customFormat="false" ht="23.85" hidden="false" customHeight="false" outlineLevel="0" collapsed="false">
      <c r="A39" s="2"/>
      <c r="B39" s="2"/>
      <c r="C39" s="6" t="s">
        <v>60</v>
      </c>
    </row>
    <row r="40" customFormat="false" ht="23.85" hidden="false" customHeight="false" outlineLevel="0" collapsed="false">
      <c r="A40" s="2"/>
      <c r="B40" s="2"/>
      <c r="C40" s="6" t="s">
        <v>61</v>
      </c>
    </row>
    <row r="41" customFormat="false" ht="23.85" hidden="false" customHeight="false" outlineLevel="0" collapsed="false">
      <c r="A41" s="2"/>
      <c r="B41" s="2"/>
      <c r="C41" s="6" t="s">
        <v>62</v>
      </c>
    </row>
    <row r="42" customFormat="false" ht="15" hidden="false" customHeight="false" outlineLevel="0" collapsed="false">
      <c r="A42" s="2"/>
      <c r="B42" s="2"/>
      <c r="C42" s="6" t="s">
        <v>63</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5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24"/>
    <col collapsed="false" customWidth="true" hidden="false" outlineLevel="0" max="5" min="4" style="0" width="16"/>
    <col collapsed="false" customWidth="true" hidden="false" outlineLevel="0" max="6" min="6" style="0" width="18"/>
    <col collapsed="false" customWidth="true" hidden="false" outlineLevel="0" max="7" min="7" style="0" width="3"/>
    <col collapsed="false" customWidth="true" hidden="false" outlineLevel="0" max="8" min="8" style="0" width="30"/>
    <col collapsed="false" customWidth="true" hidden="false" outlineLevel="0" max="12" min="9" style="0" width="16"/>
  </cols>
  <sheetData>
    <row r="1" customFormat="false" ht="19.7" hidden="false" customHeight="false" outlineLevel="0" collapsed="false">
      <c r="A1" s="2"/>
      <c r="B1" s="1" t="str">
        <f aca="false">"BI Migration Estimate - "&amp;Client</f>
        <v>BI Migration Estimate - Example Client</v>
      </c>
      <c r="C1" s="2"/>
      <c r="D1" s="2"/>
      <c r="E1" s="2"/>
      <c r="F1" s="2"/>
      <c r="G1" s="2"/>
      <c r="H1" s="2"/>
      <c r="I1" s="2"/>
      <c r="J1" s="2"/>
      <c r="K1" s="2"/>
      <c r="L1" s="2"/>
    </row>
    <row r="2" customFormat="false" ht="15" hidden="false" customHeight="false" outlineLevel="0" collapsed="false">
      <c r="A2" s="2"/>
      <c r="B2" s="3" t="str">
        <f aca="false">Opportunity&amp;"  |  "&amp;EstVersion&amp;"  |  "&amp;TEXT(EstDate,"dd-mmm-yyyy")&amp;"  |  Start "&amp;TEXT(StartDate,"dd-mmm-yyyy")&amp;"  |  All money in "&amp;Currency</f>
        <v>BI modernisation programme  |  v2.0-draft  |  13-Oct-2026  |  Start 04-Jan-2027  |  All money in USD</v>
      </c>
      <c r="C2" s="2"/>
      <c r="D2" s="2"/>
      <c r="E2" s="2"/>
      <c r="F2" s="2"/>
      <c r="G2" s="2"/>
      <c r="H2" s="2"/>
      <c r="I2" s="2"/>
      <c r="J2" s="2"/>
      <c r="K2" s="2"/>
      <c r="L2" s="2"/>
    </row>
    <row r="3" customFormat="false" ht="15" hidden="false" customHeight="false" outlineLevel="0" collapsed="false">
      <c r="A3" s="2"/>
      <c r="B3" s="2"/>
      <c r="C3" s="2"/>
      <c r="D3" s="2"/>
      <c r="E3" s="2"/>
      <c r="F3" s="2"/>
      <c r="G3" s="2"/>
      <c r="H3" s="2"/>
      <c r="I3" s="2"/>
      <c r="J3" s="2"/>
      <c r="K3" s="2"/>
      <c r="L3" s="2"/>
    </row>
    <row r="4" customFormat="false" ht="24" hidden="false" customHeight="true" outlineLevel="0" collapsed="false">
      <c r="A4" s="2"/>
      <c r="B4" s="11" t="str">
        <f aca="false">IF(FailCount=0,"VALID ESTIMATE - all checks pass","NOT VALID - "&amp;FailCount&amp;" check(s) failing: see the Checks tab")</f>
        <v>VALID ESTIMATE - all checks pass</v>
      </c>
      <c r="C4" s="11"/>
      <c r="D4" s="11"/>
      <c r="E4" s="11"/>
      <c r="F4" s="11"/>
      <c r="G4" s="11"/>
      <c r="H4" s="11"/>
      <c r="I4" s="11"/>
      <c r="J4" s="11"/>
      <c r="K4" s="11"/>
      <c r="L4" s="11"/>
    </row>
    <row r="5" customFormat="false" ht="15" hidden="false" customHeight="false" outlineLevel="0" collapsed="false">
      <c r="A5" s="2"/>
      <c r="B5" s="2"/>
      <c r="C5" s="2"/>
      <c r="D5" s="2"/>
      <c r="E5" s="2"/>
      <c r="F5" s="2"/>
      <c r="G5" s="2"/>
      <c r="H5" s="2"/>
      <c r="I5" s="2"/>
      <c r="J5" s="2"/>
      <c r="K5" s="2"/>
      <c r="L5" s="2"/>
    </row>
    <row r="6" customFormat="false" ht="15" hidden="false" customHeight="true" outlineLevel="0" collapsed="false">
      <c r="A6" s="2"/>
      <c r="B6" s="12" t="s">
        <v>64</v>
      </c>
      <c r="C6" s="12"/>
      <c r="D6" s="12" t="s">
        <v>65</v>
      </c>
      <c r="E6" s="12"/>
      <c r="F6" s="12"/>
      <c r="G6" s="2"/>
      <c r="H6" s="12" t="s">
        <v>66</v>
      </c>
      <c r="I6" s="12"/>
      <c r="J6" s="12" t="s">
        <v>67</v>
      </c>
      <c r="K6" s="12"/>
      <c r="L6" s="12"/>
    </row>
    <row r="7" customFormat="false" ht="30" hidden="false" customHeight="true" outlineLevel="0" collapsed="false">
      <c r="A7" s="2"/>
      <c r="B7" s="13" t="n">
        <f aca="false">FixedPrice</f>
        <v>1069220.91984267</v>
      </c>
      <c r="C7" s="13"/>
      <c r="D7" s="14" t="n">
        <f aca="false">TotalHrs</f>
        <v>17010.7630631041</v>
      </c>
      <c r="E7" s="14"/>
      <c r="F7" s="14"/>
      <c r="G7" s="2"/>
      <c r="H7" s="15" t="n">
        <f aca="false">DurationWeeks</f>
        <v>36</v>
      </c>
      <c r="I7" s="15"/>
      <c r="J7" s="16" t="n">
        <f aca="false">EndDate</f>
        <v>46654</v>
      </c>
      <c r="K7" s="16"/>
      <c r="L7" s="16"/>
    </row>
    <row r="8" customFormat="false" ht="15" hidden="false" customHeight="false" outlineLevel="0" collapsed="false">
      <c r="A8" s="2"/>
      <c r="B8" s="2"/>
      <c r="C8" s="2"/>
      <c r="D8" s="2"/>
      <c r="E8" s="2"/>
      <c r="F8" s="2"/>
      <c r="G8" s="2"/>
      <c r="H8" s="2"/>
      <c r="I8" s="2"/>
      <c r="J8" s="2"/>
      <c r="K8" s="2"/>
      <c r="L8" s="2"/>
    </row>
    <row r="9" customFormat="false" ht="15" hidden="false" customHeight="true" outlineLevel="0" collapsed="false">
      <c r="A9" s="2"/>
      <c r="B9" s="12" t="s">
        <v>68</v>
      </c>
      <c r="C9" s="12"/>
      <c r="D9" s="12" t="s">
        <v>69</v>
      </c>
      <c r="E9" s="12"/>
      <c r="F9" s="12"/>
      <c r="G9" s="2"/>
      <c r="H9" s="12" t="s">
        <v>70</v>
      </c>
      <c r="I9" s="12"/>
      <c r="J9" s="12" t="s">
        <v>71</v>
      </c>
      <c r="K9" s="12"/>
      <c r="L9" s="12"/>
    </row>
    <row r="10" customFormat="false" ht="30" hidden="false" customHeight="true" outlineLevel="0" collapsed="false">
      <c r="A10" s="2"/>
      <c r="B10" s="17" t="str">
        <f aca="false">IterCount&amp;" x "&amp;IterLen&amp;" wk"</f>
        <v>10 x 2 wk</v>
      </c>
      <c r="C10" s="17"/>
      <c r="D10" s="15" t="n">
        <f aca="false">Releases</f>
        <v>2</v>
      </c>
      <c r="E10" s="15"/>
      <c r="F10" s="15"/>
      <c r="G10" s="2"/>
      <c r="H10" s="18" t="n">
        <f aca="false">PeakTeam</f>
        <v>18.5</v>
      </c>
      <c r="I10" s="18"/>
      <c r="J10" s="18" t="n">
        <f aca="false">AvgTeam</f>
        <v>9.81944444444445</v>
      </c>
      <c r="K10" s="18"/>
      <c r="L10" s="18"/>
    </row>
    <row r="11" customFormat="false" ht="15" hidden="false" customHeight="false" outlineLevel="0" collapsed="false">
      <c r="A11" s="2"/>
      <c r="B11" s="2"/>
      <c r="C11" s="2"/>
      <c r="D11" s="2"/>
      <c r="E11" s="2"/>
      <c r="F11" s="2"/>
      <c r="G11" s="2"/>
      <c r="H11" s="2"/>
      <c r="I11" s="2"/>
      <c r="J11" s="2"/>
      <c r="K11" s="2"/>
      <c r="L11" s="2"/>
    </row>
    <row r="12" customFormat="false" ht="15" hidden="false" customHeight="false" outlineLevel="0" collapsed="false">
      <c r="A12" s="2"/>
      <c r="B12" s="3" t="str">
        <f aca="false">"Average team during report iterations: "&amp;TEXT(AvgDevTeam,"0.0")&amp;" FTE  |  Contingency "&amp;TEXT(ContPct,"0.0%")&amp;"  |  Onsite share "&amp;TEXT(OnsiteShare,"0.0%")&amp;"  |  Cost mode: "&amp;CostMode</f>
        <v>Average team during report iterations: 14.4 FTE  |  Contingency 18.1%  |  Onsite share 1.2%  |  Cost mode: Role mix</v>
      </c>
      <c r="C12" s="2"/>
      <c r="D12" s="2"/>
      <c r="E12" s="2"/>
      <c r="F12" s="2"/>
      <c r="G12" s="2"/>
      <c r="H12" s="2"/>
      <c r="I12" s="2"/>
      <c r="J12" s="2"/>
      <c r="K12" s="2"/>
      <c r="L12" s="2"/>
    </row>
    <row r="13" customFormat="false" ht="15" hidden="false" customHeight="false" outlineLevel="0" collapsed="false">
      <c r="A13" s="2"/>
      <c r="B13" s="2"/>
      <c r="C13" s="2"/>
      <c r="D13" s="2"/>
      <c r="E13" s="2"/>
      <c r="F13" s="2"/>
      <c r="G13" s="2"/>
      <c r="H13" s="2"/>
      <c r="I13" s="2"/>
      <c r="J13" s="2"/>
      <c r="K13" s="2"/>
      <c r="L13" s="2"/>
    </row>
    <row r="14" customFormat="false" ht="15" hidden="false" customHeight="false" outlineLevel="0" collapsed="false">
      <c r="A14" s="2"/>
      <c r="B14" s="19" t="s">
        <v>72</v>
      </c>
      <c r="C14" s="20"/>
      <c r="D14" s="20"/>
      <c r="E14" s="20"/>
      <c r="F14" s="20"/>
      <c r="G14" s="2"/>
      <c r="H14" s="19" t="s">
        <v>73</v>
      </c>
      <c r="I14" s="20"/>
      <c r="J14" s="20"/>
      <c r="K14" s="20"/>
      <c r="L14" s="20"/>
    </row>
    <row r="15" customFormat="false" ht="30" hidden="false" customHeight="true" outlineLevel="0" collapsed="false">
      <c r="A15" s="2"/>
      <c r="B15" s="21" t="s">
        <v>74</v>
      </c>
      <c r="C15" s="21" t="s">
        <v>75</v>
      </c>
      <c r="D15" s="21" t="s">
        <v>76</v>
      </c>
      <c r="E15" s="21" t="s">
        <v>77</v>
      </c>
      <c r="F15" s="21" t="s">
        <v>78</v>
      </c>
      <c r="G15" s="2"/>
      <c r="H15" s="21" t="s">
        <v>79</v>
      </c>
      <c r="I15" s="21" t="s">
        <v>80</v>
      </c>
      <c r="J15" s="21" t="s">
        <v>75</v>
      </c>
      <c r="K15" s="21" t="s">
        <v>81</v>
      </c>
      <c r="L15" s="21" t="s">
        <v>77</v>
      </c>
    </row>
    <row r="16" customFormat="false" ht="15" hidden="false" customHeight="false" outlineLevel="0" collapsed="false">
      <c r="A16" s="2"/>
      <c r="B16" s="9" t="s">
        <v>82</v>
      </c>
      <c r="C16" s="22" t="n">
        <f aca="false">INDEX(PhaseHours,1)</f>
        <v>693</v>
      </c>
      <c r="D16" s="23" t="n">
        <f aca="false">IF(TotalBaseHrs&gt;0,C16/TotalBaseHrs,0)</f>
        <v>0.0483783044419212</v>
      </c>
      <c r="E16" s="24" t="n">
        <f aca="false">INDEX(PhaseCost,1)</f>
        <v>67983.3</v>
      </c>
      <c r="F16" s="9" t="str">
        <f aca="false">IF(C16&gt;0,INDEX(PhStart,1)&amp;" - "&amp;INDEX(PhEnd,1),"")</f>
        <v>1 - 6</v>
      </c>
      <c r="G16" s="2"/>
      <c r="H16" s="9" t="str">
        <f aca="false">Cost!B6</f>
        <v>Delivery manager / PM</v>
      </c>
      <c r="I16" s="9" t="str">
        <f aca="false">Cost!C6</f>
        <v>India</v>
      </c>
      <c r="J16" s="22" t="n">
        <f aca="false">Cost!D6</f>
        <v>1440</v>
      </c>
      <c r="K16" s="25" t="n">
        <f aca="false">Cost!E6</f>
        <v>82</v>
      </c>
      <c r="L16" s="24" t="n">
        <f aca="false">Cost!F6</f>
        <v>118080</v>
      </c>
    </row>
    <row r="17" customFormat="false" ht="15" hidden="false" customHeight="false" outlineLevel="0" collapsed="false">
      <c r="A17" s="2"/>
      <c r="B17" s="9" t="s">
        <v>83</v>
      </c>
      <c r="C17" s="22" t="n">
        <f aca="false">INDEX(PhaseHours,2)</f>
        <v>128</v>
      </c>
      <c r="D17" s="23" t="n">
        <f aca="false">IF(TotalBaseHrs&gt;0,C17/TotalBaseHrs,0)</f>
        <v>0.0089356752793159</v>
      </c>
      <c r="E17" s="24" t="n">
        <f aca="false">INDEX(PhaseCost,2)</f>
        <v>13510.4</v>
      </c>
      <c r="F17" s="9" t="str">
        <f aca="false">IF(C17&gt;0,INDEX(PhStart,2)&amp;" - "&amp;INDEX(PhEnd,2),"")</f>
        <v>4 - 5</v>
      </c>
      <c r="G17" s="2"/>
      <c r="H17" s="9" t="str">
        <f aca="false">Cost!B7</f>
        <v>Onsite architect</v>
      </c>
      <c r="I17" s="9" t="str">
        <f aca="false">Cost!C7</f>
        <v>USA</v>
      </c>
      <c r="J17" s="22" t="n">
        <f aca="false">Cost!D7</f>
        <v>170.6</v>
      </c>
      <c r="K17" s="25" t="n">
        <f aca="false">Cost!E7</f>
        <v>185</v>
      </c>
      <c r="L17" s="24" t="n">
        <f aca="false">Cost!F7</f>
        <v>31561</v>
      </c>
    </row>
    <row r="18" customFormat="false" ht="15" hidden="false" customHeight="false" outlineLevel="0" collapsed="false">
      <c r="A18" s="2"/>
      <c r="B18" s="9" t="s">
        <v>84</v>
      </c>
      <c r="C18" s="22" t="n">
        <f aca="false">INDEX(PhaseHours,3)</f>
        <v>2377.94</v>
      </c>
      <c r="D18" s="23" t="n">
        <f aca="false">IF(TotalBaseHrs&gt;0,C18/TotalBaseHrs,0)</f>
        <v>0.166003903700753</v>
      </c>
      <c r="E18" s="24" t="n">
        <f aca="false">INDEX(PhaseCost,3)</f>
        <v>147432.28</v>
      </c>
      <c r="F18" s="9" t="str">
        <f aca="false">IF(C18&gt;0,INDEX(PhStart,3)&amp;" - "&amp;INDEX(PhEnd,3),"")</f>
        <v>7 - 18</v>
      </c>
      <c r="G18" s="2"/>
      <c r="H18" s="9" t="str">
        <f aca="false">Cost!B8</f>
        <v>Solution architect</v>
      </c>
      <c r="I18" s="9" t="str">
        <f aca="false">Cost!C8</f>
        <v>India</v>
      </c>
      <c r="J18" s="22" t="n">
        <f aca="false">Cost!D8</f>
        <v>259.1</v>
      </c>
      <c r="K18" s="25" t="n">
        <f aca="false">Cost!E8</f>
        <v>87</v>
      </c>
      <c r="L18" s="24" t="n">
        <f aca="false">Cost!F8</f>
        <v>22541.7</v>
      </c>
    </row>
    <row r="19" customFormat="false" ht="15" hidden="false" customHeight="false" outlineLevel="0" collapsed="false">
      <c r="A19" s="2"/>
      <c r="B19" s="9" t="s">
        <v>85</v>
      </c>
      <c r="C19" s="22" t="n">
        <f aca="false">INDEX(PhaseHours,4)</f>
        <v>6206.6628978125</v>
      </c>
      <c r="D19" s="23" t="n">
        <f aca="false">IF(TotalBaseHrs&gt;0,C19/TotalBaseHrs,0)</f>
        <v>0.433286907992424</v>
      </c>
      <c r="E19" s="24" t="n">
        <f aca="false">INDEX(PhaseCost,4)</f>
        <v>345090.457118375</v>
      </c>
      <c r="F19" s="9" t="str">
        <f aca="false">IF(C19&gt;0,INDEX(PhStart,4)&amp;" - "&amp;INDEX(PhEnd,4),"")</f>
        <v>9 - 28</v>
      </c>
      <c r="G19" s="2"/>
      <c r="H19" s="9" t="str">
        <f aca="false">Cost!B9</f>
        <v>BI architect</v>
      </c>
      <c r="I19" s="9" t="str">
        <f aca="false">Cost!C9</f>
        <v>India</v>
      </c>
      <c r="J19" s="22" t="n">
        <f aca="false">Cost!D9</f>
        <v>765.891</v>
      </c>
      <c r="K19" s="25" t="n">
        <f aca="false">Cost!E9</f>
        <v>70</v>
      </c>
      <c r="L19" s="24" t="n">
        <f aca="false">Cost!F9</f>
        <v>53612.37</v>
      </c>
    </row>
    <row r="20" customFormat="false" ht="15" hidden="false" customHeight="false" outlineLevel="0" collapsed="false">
      <c r="A20" s="2"/>
      <c r="B20" s="9" t="s">
        <v>86</v>
      </c>
      <c r="C20" s="22" t="n">
        <f aca="false">INDEX(PhaseHours,5)</f>
        <v>1840</v>
      </c>
      <c r="D20" s="23" t="n">
        <f aca="false">IF(TotalBaseHrs&gt;0,C20/TotalBaseHrs,0)</f>
        <v>0.128450332140166</v>
      </c>
      <c r="E20" s="24" t="n">
        <f aca="false">INDEX(PhaseCost,5)</f>
        <v>105340</v>
      </c>
      <c r="F20" s="9" t="str">
        <f aca="false">IF(C20&gt;0,INDEX(PhStart,5)&amp;" - "&amp;INDEX(PhEnd,5),"")</f>
        <v>11 - 31</v>
      </c>
      <c r="G20" s="2"/>
      <c r="H20" s="9" t="str">
        <f aca="false">Cost!B10</f>
        <v>Lead</v>
      </c>
      <c r="I20" s="9" t="str">
        <f aca="false">Cost!C10</f>
        <v>India</v>
      </c>
      <c r="J20" s="22" t="n">
        <f aca="false">Cost!D10</f>
        <v>1693.25728978125</v>
      </c>
      <c r="K20" s="25" t="n">
        <f aca="false">Cost!E10</f>
        <v>70</v>
      </c>
      <c r="L20" s="24" t="n">
        <f aca="false">Cost!F10</f>
        <v>118528.010284688</v>
      </c>
    </row>
    <row r="21" customFormat="false" ht="15" hidden="false" customHeight="false" outlineLevel="0" collapsed="false">
      <c r="A21" s="2"/>
      <c r="B21" s="9" t="s">
        <v>87</v>
      </c>
      <c r="C21" s="22" t="n">
        <f aca="false">INDEX(PhaseHours,6)</f>
        <v>440</v>
      </c>
      <c r="D21" s="23" t="n">
        <f aca="false">IF(TotalBaseHrs&gt;0,C21/TotalBaseHrs,0)</f>
        <v>0.0307163837726484</v>
      </c>
      <c r="E21" s="24" t="n">
        <f aca="false">INDEX(PhaseCost,6)</f>
        <v>25872</v>
      </c>
      <c r="F21" s="9" t="str">
        <f aca="false">IF(C21&gt;0,INDEX(PhStart,6)&amp;" - "&amp;INDEX(PhEnd,6),"")</f>
        <v>13 - 34</v>
      </c>
      <c r="G21" s="2"/>
      <c r="H21" s="9" t="str">
        <f aca="false">Cost!B11</f>
        <v>Sr. engineer</v>
      </c>
      <c r="I21" s="9" t="str">
        <f aca="false">Cost!C11</f>
        <v>India</v>
      </c>
      <c r="J21" s="22" t="n">
        <f aca="false">Cost!D11</f>
        <v>3884.16886934375</v>
      </c>
      <c r="K21" s="25" t="n">
        <f aca="false">Cost!E11</f>
        <v>62</v>
      </c>
      <c r="L21" s="24" t="n">
        <f aca="false">Cost!F11</f>
        <v>240818.469899312</v>
      </c>
    </row>
    <row r="22" customFormat="false" ht="15" hidden="false" customHeight="false" outlineLevel="0" collapsed="false">
      <c r="A22" s="2"/>
      <c r="B22" s="9" t="s">
        <v>88</v>
      </c>
      <c r="C22" s="22" t="n">
        <f aca="false">INDEX(PhaseHours,7)</f>
        <v>400</v>
      </c>
      <c r="D22" s="23" t="n">
        <f aca="false">IF(TotalBaseHrs&gt;0,C22/TotalBaseHrs,0)</f>
        <v>0.0279239852478622</v>
      </c>
      <c r="E22" s="24" t="n">
        <f aca="false">INDEX(PhaseCost,7)</f>
        <v>25760</v>
      </c>
      <c r="F22" s="9" t="str">
        <f aca="false">IF(C22&gt;0,INDEX(PhStart,7)&amp;" - "&amp;INDEX(PhEnd,7),"")</f>
        <v>13 - 34</v>
      </c>
      <c r="G22" s="2"/>
      <c r="H22" s="9" t="str">
        <f aca="false">Cost!B12</f>
        <v>Engineer</v>
      </c>
      <c r="I22" s="9" t="str">
        <f aca="false">Cost!C12</f>
        <v>India</v>
      </c>
      <c r="J22" s="22" t="n">
        <f aca="false">Cost!D12</f>
        <v>4823.5857386875</v>
      </c>
      <c r="K22" s="25" t="n">
        <f aca="false">Cost!E12</f>
        <v>50</v>
      </c>
      <c r="L22" s="24" t="n">
        <f aca="false">Cost!F12</f>
        <v>241179.286934375</v>
      </c>
    </row>
    <row r="23" customFormat="false" ht="15" hidden="false" customHeight="false" outlineLevel="0" collapsed="false">
      <c r="A23" s="2"/>
      <c r="B23" s="9" t="s">
        <v>89</v>
      </c>
      <c r="C23" s="22" t="n">
        <f aca="false">INDEX(PhaseHours,8)</f>
        <v>320</v>
      </c>
      <c r="D23" s="23" t="n">
        <f aca="false">IF(TotalBaseHrs&gt;0,C23/TotalBaseHrs,0)</f>
        <v>0.0223391881982897</v>
      </c>
      <c r="E23" s="24" t="n">
        <f aca="false">INDEX(PhaseCost,8)</f>
        <v>19520</v>
      </c>
      <c r="F23" s="9" t="str">
        <f aca="false">IF(C23&gt;0,INDEX(PhStart,8)&amp;" - "&amp;INDEX(PhEnd,8),"")</f>
        <v>27 - 36</v>
      </c>
      <c r="G23" s="2"/>
      <c r="H23" s="9" t="str">
        <f aca="false">Cost!B13</f>
        <v>QA engineer</v>
      </c>
      <c r="I23" s="9" t="str">
        <f aca="false">Cost!C13</f>
        <v>India</v>
      </c>
      <c r="J23" s="22" t="n">
        <f aca="false">Cost!D13</f>
        <v>1288</v>
      </c>
      <c r="K23" s="25" t="n">
        <f aca="false">Cost!E13</f>
        <v>57.5</v>
      </c>
      <c r="L23" s="24" t="n">
        <f aca="false">Cost!F13</f>
        <v>74060</v>
      </c>
    </row>
    <row r="24" customFormat="false" ht="15" hidden="false" customHeight="false" outlineLevel="0" collapsed="false">
      <c r="A24" s="2"/>
      <c r="B24" s="9" t="s">
        <v>90</v>
      </c>
      <c r="C24" s="22" t="n">
        <f aca="false">INDEX(PhaseHours,9)</f>
        <v>351</v>
      </c>
      <c r="D24" s="23" t="n">
        <f aca="false">IF(TotalBaseHrs&gt;0,C24/TotalBaseHrs,0)</f>
        <v>0.0245032970549991</v>
      </c>
      <c r="E24" s="24" t="n">
        <f aca="false">INDEX(PhaseCost,9)</f>
        <v>23446.8</v>
      </c>
      <c r="F24" s="9" t="str">
        <f aca="false">IF(C24&gt;0,INDEX(PhStart,9)&amp;" - "&amp;INDEX(PhEnd,9),"")</f>
        <v>9 - 34</v>
      </c>
      <c r="G24" s="2"/>
      <c r="H24" s="26" t="s">
        <v>91</v>
      </c>
      <c r="I24" s="2"/>
      <c r="J24" s="27" t="n">
        <f aca="false">RoleHrsTotal</f>
        <v>14324.6028978125</v>
      </c>
      <c r="K24" s="2"/>
      <c r="L24" s="28" t="n">
        <f aca="false">RoleCostTotal</f>
        <v>900380.837118375</v>
      </c>
    </row>
    <row r="25" customFormat="false" ht="15" hidden="false" customHeight="false" outlineLevel="0" collapsed="false">
      <c r="A25" s="2"/>
      <c r="B25" s="9" t="s">
        <v>92</v>
      </c>
      <c r="C25" s="22" t="n">
        <f aca="false">INDEX(PhaseHours,10)</f>
        <v>128</v>
      </c>
      <c r="D25" s="23" t="n">
        <f aca="false">IF(TotalBaseHrs&gt;0,C25/TotalBaseHrs,0)</f>
        <v>0.0089356752793159</v>
      </c>
      <c r="E25" s="24" t="n">
        <f aca="false">INDEX(PhaseCost,10)</f>
        <v>8345.6</v>
      </c>
      <c r="F25" s="9" t="str">
        <f aca="false">IF(C25&gt;0,INDEX(PhStart,10)&amp;" - "&amp;INDEX(PhEnd,10),"")</f>
        <v>9 - 28</v>
      </c>
      <c r="G25" s="2"/>
      <c r="H25" s="2"/>
      <c r="I25" s="2"/>
      <c r="J25" s="2"/>
      <c r="K25" s="2"/>
      <c r="L25" s="2"/>
    </row>
    <row r="26" customFormat="false" ht="15" hidden="false" customHeight="false" outlineLevel="0" collapsed="false">
      <c r="A26" s="2"/>
      <c r="B26" s="9" t="s">
        <v>93</v>
      </c>
      <c r="C26" s="22" t="n">
        <f aca="false">INDEX(PhaseHours,11)</f>
        <v>1440</v>
      </c>
      <c r="D26" s="23" t="n">
        <f aca="false">IF(TotalBaseHrs&gt;0,C26/TotalBaseHrs,0)</f>
        <v>0.100526346892304</v>
      </c>
      <c r="E26" s="24" t="n">
        <f aca="false">INDEX(PhaseCost,11)</f>
        <v>118080</v>
      </c>
      <c r="F26" s="9" t="str">
        <f aca="false">IF(C26&gt;0,INDEX(PhStart,11)&amp;" - "&amp;INDEX(PhEnd,11),"")</f>
        <v>1 - 36</v>
      </c>
      <c r="G26" s="2"/>
      <c r="H26" s="2"/>
      <c r="I26" s="2"/>
      <c r="J26" s="2"/>
      <c r="K26" s="2"/>
      <c r="L26" s="2"/>
    </row>
    <row r="27" customFormat="false" ht="15" hidden="false" customHeight="false" outlineLevel="0" collapsed="false">
      <c r="A27" s="2"/>
      <c r="B27" s="26" t="s">
        <v>94</v>
      </c>
      <c r="C27" s="22" t="n">
        <f aca="false">TotalBaseHrs</f>
        <v>14324.6028978125</v>
      </c>
      <c r="D27" s="2"/>
      <c r="E27" s="24" t="n">
        <f aca="false">BaseCost</f>
        <v>900380.837118375</v>
      </c>
      <c r="F27" s="2"/>
      <c r="G27" s="2"/>
      <c r="H27" s="19" t="s">
        <v>95</v>
      </c>
      <c r="I27" s="20"/>
      <c r="J27" s="20"/>
      <c r="K27" s="20"/>
      <c r="L27" s="20"/>
    </row>
    <row r="28" customFormat="false" ht="30" hidden="false" customHeight="true" outlineLevel="0" collapsed="false">
      <c r="A28" s="2"/>
      <c r="B28" s="26" t="s">
        <v>96</v>
      </c>
      <c r="C28" s="22" t="n">
        <f aca="false">ContHrs</f>
        <v>2596.16016529164</v>
      </c>
      <c r="D28" s="2"/>
      <c r="E28" s="24" t="n">
        <f aca="false">ContCost</f>
        <v>163183.082951334</v>
      </c>
      <c r="F28" s="2"/>
      <c r="G28" s="2"/>
      <c r="H28" s="21" t="s">
        <v>97</v>
      </c>
      <c r="I28" s="21" t="s">
        <v>98</v>
      </c>
      <c r="J28" s="21" t="s">
        <v>99</v>
      </c>
      <c r="K28" s="2"/>
      <c r="L28" s="2"/>
    </row>
    <row r="29" customFormat="false" ht="15" hidden="false" customHeight="false" outlineLevel="0" collapsed="false">
      <c r="A29" s="2"/>
      <c r="B29" s="26" t="s">
        <v>100</v>
      </c>
      <c r="C29" s="22" t="n">
        <f aca="false">RiskHrs</f>
        <v>90</v>
      </c>
      <c r="D29" s="2"/>
      <c r="E29" s="24" t="n">
        <f aca="false">RiskCost</f>
        <v>5656.99977295904</v>
      </c>
      <c r="F29" s="2"/>
      <c r="G29" s="2"/>
      <c r="H29" s="9" t="str">
        <f aca="false">INDEX(MilestoneLabels,1)</f>
        <v>Assessment sign-off</v>
      </c>
      <c r="I29" s="29" t="n">
        <f aca="false">INDEX(MilestoneWeeks,1)</f>
        <v>6</v>
      </c>
      <c r="J29" s="30" t="n">
        <f aca="false">INDEX(MilestoneDates,1)</f>
        <v>46437</v>
      </c>
      <c r="K29" s="2"/>
      <c r="L29" s="2"/>
    </row>
    <row r="30" customFormat="false" ht="15" hidden="false" customHeight="false" outlineLevel="0" collapsed="false">
      <c r="A30" s="2"/>
      <c r="B30" s="26" t="s">
        <v>101</v>
      </c>
      <c r="C30" s="22"/>
      <c r="D30" s="2"/>
      <c r="E30" s="24" t="n">
        <f aca="false">DiscountAmt</f>
        <v>-0</v>
      </c>
      <c r="F30" s="2"/>
      <c r="G30" s="2"/>
      <c r="H30" s="9" t="str">
        <f aca="false">INDEX(MilestoneLabels,2)</f>
        <v>Architecture sign-off</v>
      </c>
      <c r="I30" s="29" t="n">
        <f aca="false">INDEX(MilestoneWeeks,2)</f>
        <v>5</v>
      </c>
      <c r="J30" s="30" t="n">
        <f aca="false">INDEX(MilestoneDates,2)</f>
        <v>46430</v>
      </c>
      <c r="K30" s="2"/>
      <c r="L30" s="2"/>
    </row>
    <row r="31" customFormat="false" ht="15" hidden="false" customHeight="false" outlineLevel="0" collapsed="false">
      <c r="A31" s="2"/>
      <c r="B31" s="26" t="s">
        <v>102</v>
      </c>
      <c r="C31" s="22"/>
      <c r="D31" s="2"/>
      <c r="E31" s="24" t="n">
        <f aca="false">PassThrough</f>
        <v>0</v>
      </c>
      <c r="F31" s="2"/>
      <c r="G31" s="2"/>
      <c r="H31" s="9" t="str">
        <f aca="false">INDEX(MilestoneLabels,3)</f>
        <v>First semantic models ready</v>
      </c>
      <c r="I31" s="29" t="n">
        <f aca="false">INDEX(MilestoneWeeks,3)</f>
        <v>8</v>
      </c>
      <c r="J31" s="30" t="n">
        <f aca="false">INDEX(MilestoneDates,3)</f>
        <v>46451</v>
      </c>
      <c r="K31" s="2"/>
      <c r="L31" s="2"/>
    </row>
    <row r="32" customFormat="false" ht="15" hidden="false" customHeight="false" outlineLevel="0" collapsed="false">
      <c r="A32" s="2"/>
      <c r="B32" s="26" t="s">
        <v>103</v>
      </c>
      <c r="C32" s="27" t="n">
        <f aca="false">TotalHrs</f>
        <v>17010.7630631041</v>
      </c>
      <c r="D32" s="2"/>
      <c r="E32" s="31" t="n">
        <f aca="false">FixedPrice</f>
        <v>1069220.91984267</v>
      </c>
      <c r="F32" s="2"/>
      <c r="G32" s="2"/>
      <c r="H32" s="9" t="str">
        <f aca="false">INDEX(MilestoneLabels,4)</f>
        <v>First report iteration starts</v>
      </c>
      <c r="I32" s="29" t="n">
        <f aca="false">INDEX(MilestoneWeeks,4)</f>
        <v>9</v>
      </c>
      <c r="J32" s="30" t="n">
        <f aca="false">INDEX(MilestoneDates,4)</f>
        <v>46458</v>
      </c>
      <c r="K32" s="2"/>
      <c r="L32" s="2"/>
    </row>
    <row r="33" customFormat="false" ht="15" hidden="false" customHeight="false" outlineLevel="0" collapsed="false">
      <c r="A33" s="2"/>
      <c r="B33" s="2"/>
      <c r="C33" s="2"/>
      <c r="D33" s="2"/>
      <c r="E33" s="2"/>
      <c r="F33" s="2"/>
      <c r="G33" s="2"/>
      <c r="H33" s="9" t="str">
        <f aca="false">INDEX(MilestoneLabels,5)</f>
        <v>Last report iteration ends</v>
      </c>
      <c r="I33" s="29" t="n">
        <f aca="false">INDEX(MilestoneWeeks,5)</f>
        <v>28</v>
      </c>
      <c r="J33" s="30" t="n">
        <f aca="false">INDEX(MilestoneDates,5)</f>
        <v>46598</v>
      </c>
      <c r="K33" s="2"/>
      <c r="L33" s="2"/>
    </row>
    <row r="34" customFormat="false" ht="15" hidden="false" customHeight="false" outlineLevel="0" collapsed="false">
      <c r="A34" s="2"/>
      <c r="B34" s="2"/>
      <c r="C34" s="2"/>
      <c r="D34" s="2"/>
      <c r="E34" s="2"/>
      <c r="F34" s="2"/>
      <c r="G34" s="2"/>
      <c r="H34" s="9" t="str">
        <f aca="false">INDEX(MilestoneLabels,6)</f>
        <v>Wave 1 go-live</v>
      </c>
      <c r="I34" s="29" t="n">
        <f aca="false">INDEX(MilestoneWeeks,6)</f>
        <v>26</v>
      </c>
      <c r="J34" s="30" t="n">
        <f aca="false">INDEX(MilestoneDates,6)</f>
        <v>46584</v>
      </c>
      <c r="K34" s="2"/>
      <c r="L34" s="2"/>
    </row>
    <row r="35" customFormat="false" ht="15" hidden="false" customHeight="false" outlineLevel="0" collapsed="false">
      <c r="A35" s="2"/>
      <c r="B35" s="2"/>
      <c r="C35" s="2"/>
      <c r="D35" s="2"/>
      <c r="E35" s="2"/>
      <c r="F35" s="2"/>
      <c r="G35" s="2"/>
      <c r="H35" s="9" t="str">
        <f aca="false">INDEX(MilestoneLabels,7)</f>
        <v>Wave 2 go-live</v>
      </c>
      <c r="I35" s="29" t="n">
        <f aca="false">INDEX(MilestoneWeeks,7)</f>
        <v>34</v>
      </c>
      <c r="J35" s="30" t="n">
        <f aca="false">INDEX(MilestoneDates,7)</f>
        <v>46640</v>
      </c>
      <c r="K35" s="2"/>
      <c r="L35" s="2"/>
    </row>
    <row r="36" customFormat="false" ht="15" hidden="false" customHeight="false" outlineLevel="0" collapsed="false">
      <c r="A36" s="2"/>
      <c r="B36" s="19" t="s">
        <v>104</v>
      </c>
      <c r="C36" s="20"/>
      <c r="D36" s="20"/>
      <c r="E36" s="20"/>
      <c r="F36" s="20"/>
      <c r="G36" s="2"/>
      <c r="H36" s="9" t="str">
        <f aca="false">INDEX(MilestoneLabels,8)</f>
        <v>Wave 3 go-live</v>
      </c>
      <c r="I36" s="29" t="str">
        <f aca="false">INDEX(MilestoneWeeks,8)</f>
        <v/>
      </c>
      <c r="J36" s="30" t="str">
        <f aca="false">INDEX(MilestoneDates,8)</f>
        <v/>
      </c>
      <c r="K36" s="2"/>
      <c r="L36" s="2"/>
    </row>
    <row r="37" customFormat="false" ht="30" hidden="false" customHeight="true" outlineLevel="0" collapsed="false">
      <c r="A37" s="2"/>
      <c r="B37" s="21" t="s">
        <v>105</v>
      </c>
      <c r="C37" s="21" t="s">
        <v>106</v>
      </c>
      <c r="D37" s="21" t="s">
        <v>107</v>
      </c>
      <c r="E37" s="21" t="s">
        <v>108</v>
      </c>
      <c r="F37" s="21" t="s">
        <v>109</v>
      </c>
      <c r="G37" s="2"/>
      <c r="H37" s="9" t="str">
        <f aca="false">INDEX(MilestoneLabels,9)</f>
        <v>Wave 4 go-live</v>
      </c>
      <c r="I37" s="29" t="str">
        <f aca="false">INDEX(MilestoneWeeks,9)</f>
        <v/>
      </c>
      <c r="J37" s="30" t="str">
        <f aca="false">INDEX(MilestoneDates,9)</f>
        <v/>
      </c>
      <c r="K37" s="2"/>
      <c r="L37" s="2"/>
    </row>
    <row r="38" customFormat="false" ht="15" hidden="false" customHeight="false" outlineLevel="0" collapsed="false">
      <c r="A38" s="2"/>
      <c r="B38" s="9" t="str">
        <f aca="false">IF(Effort!C7=1,Effort!B7,"")</f>
        <v>Finance OBIEE to Power BI</v>
      </c>
      <c r="C38" s="9" t="str">
        <f aca="false">IF(Effort!C7=1,Scope!$C7&amp;" -&gt; "&amp;Scope!$D7,"")</f>
        <v>OBIEE -&gt; Power BI</v>
      </c>
      <c r="D38" s="22" t="n">
        <f aca="false">IF(Effort!C7=1,Effort!R7,"")</f>
        <v>280</v>
      </c>
      <c r="E38" s="22" t="n">
        <f aca="false">IF(Effort!C7=1,Effort!AP7,"")</f>
        <v>9849.90559161489</v>
      </c>
      <c r="F38" s="32" t="n">
        <f aca="false">IF(Effort!C7=1,Effort!AN7,"")</f>
        <v>0.15</v>
      </c>
      <c r="G38" s="2"/>
      <c r="H38" s="9" t="str">
        <f aca="false">INDEX(MilestoneLabels,10)</f>
        <v>Wave 5 go-live</v>
      </c>
      <c r="I38" s="29" t="str">
        <f aca="false">INDEX(MilestoneWeeks,10)</f>
        <v/>
      </c>
      <c r="J38" s="30" t="str">
        <f aca="false">INDEX(MilestoneDates,10)</f>
        <v/>
      </c>
      <c r="K38" s="2"/>
      <c r="L38" s="2"/>
    </row>
    <row r="39" customFormat="false" ht="15" hidden="false" customHeight="false" outlineLevel="0" collapsed="false">
      <c r="A39" s="2"/>
      <c r="B39" s="9" t="str">
        <f aca="false">IF(Effort!C8=1,Effort!B8,"")</f>
        <v>Sales Tableau to Power BI</v>
      </c>
      <c r="C39" s="9" t="str">
        <f aca="false">IF(Effort!C8=1,Scope!$C8&amp;" -&gt; "&amp;Scope!$D8,"")</f>
        <v>Tableau -&gt; Power BI</v>
      </c>
      <c r="D39" s="22" t="n">
        <f aca="false">IF(Effort!C8=1,Effort!R8,"")</f>
        <v>175</v>
      </c>
      <c r="E39" s="22" t="n">
        <f aca="false">IF(Effort!C8=1,Effort!AP8,"")</f>
        <v>4474.69730619761</v>
      </c>
      <c r="F39" s="32" t="n">
        <f aca="false">IF(Effort!C8=1,Effort!AN8,"")</f>
        <v>0.25</v>
      </c>
      <c r="G39" s="2"/>
      <c r="H39" s="9" t="str">
        <f aca="false">INDEX(MilestoneLabels,11)</f>
        <v>Hypercare exit / programme end</v>
      </c>
      <c r="I39" s="29" t="n">
        <f aca="false">INDEX(MilestoneWeeks,11)</f>
        <v>36</v>
      </c>
      <c r="J39" s="30" t="n">
        <f aca="false">INDEX(MilestoneDates,11)</f>
        <v>46654</v>
      </c>
      <c r="K39" s="2"/>
      <c r="L39" s="2"/>
    </row>
    <row r="40" customFormat="false" ht="15" hidden="false" customHeight="false" outlineLevel="0" collapsed="false">
      <c r="A40" s="2"/>
      <c r="B40" s="9" t="str">
        <f aca="false">IF(Effort!C9=1,Effort!B9,"")</f>
        <v/>
      </c>
      <c r="C40" s="9" t="str">
        <f aca="false">IF(Effort!C9=1,Scope!$C9&amp;" -&gt; "&amp;Scope!$D9,"")</f>
        <v/>
      </c>
      <c r="D40" s="22" t="str">
        <f aca="false">IF(Effort!C9=1,Effort!R9,"")</f>
        <v/>
      </c>
      <c r="E40" s="22" t="str">
        <f aca="false">IF(Effort!C9=1,Effort!AP9,"")</f>
        <v/>
      </c>
      <c r="F40" s="32" t="str">
        <f aca="false">IF(Effort!C9=1,Effort!AN9,"")</f>
        <v/>
      </c>
      <c r="G40" s="2"/>
      <c r="H40" s="2"/>
      <c r="I40" s="2"/>
      <c r="J40" s="2"/>
      <c r="K40" s="2"/>
      <c r="L40" s="2"/>
    </row>
    <row r="41" customFormat="false" ht="15" hidden="false" customHeight="false" outlineLevel="0" collapsed="false">
      <c r="A41" s="2"/>
      <c r="B41" s="9" t="str">
        <f aca="false">IF(Effort!C10=1,Effort!B10,"")</f>
        <v/>
      </c>
      <c r="C41" s="9" t="str">
        <f aca="false">IF(Effort!C10=1,Scope!$C10&amp;" -&gt; "&amp;Scope!$D10,"")</f>
        <v/>
      </c>
      <c r="D41" s="22" t="str">
        <f aca="false">IF(Effort!C10=1,Effort!R10,"")</f>
        <v/>
      </c>
      <c r="E41" s="22" t="str">
        <f aca="false">IF(Effort!C10=1,Effort!AP10,"")</f>
        <v/>
      </c>
      <c r="F41" s="32" t="str">
        <f aca="false">IF(Effort!C10=1,Effort!AN10,"")</f>
        <v/>
      </c>
      <c r="G41" s="2"/>
      <c r="H41" s="2"/>
      <c r="I41" s="2"/>
      <c r="J41" s="2"/>
      <c r="K41" s="2"/>
      <c r="L41" s="2"/>
    </row>
    <row r="42" customFormat="false" ht="15" hidden="false" customHeight="false" outlineLevel="0" collapsed="false">
      <c r="A42" s="2"/>
      <c r="B42" s="9" t="str">
        <f aca="false">IF(Effort!C11=1,Effort!B11,"")</f>
        <v/>
      </c>
      <c r="C42" s="9" t="str">
        <f aca="false">IF(Effort!C11=1,Scope!$C11&amp;" -&gt; "&amp;Scope!$D11,"")</f>
        <v/>
      </c>
      <c r="D42" s="22" t="str">
        <f aca="false">IF(Effort!C11=1,Effort!R11,"")</f>
        <v/>
      </c>
      <c r="E42" s="22" t="str">
        <f aca="false">IF(Effort!C11=1,Effort!AP11,"")</f>
        <v/>
      </c>
      <c r="F42" s="32" t="str">
        <f aca="false">IF(Effort!C11=1,Effort!AN11,"")</f>
        <v/>
      </c>
      <c r="G42" s="2"/>
      <c r="H42" s="2"/>
      <c r="I42" s="2"/>
      <c r="J42" s="2"/>
      <c r="K42" s="2"/>
      <c r="L42" s="2"/>
    </row>
    <row r="43" customFormat="false" ht="15" hidden="false" customHeight="false" outlineLevel="0" collapsed="false">
      <c r="A43" s="2"/>
      <c r="B43" s="9" t="str">
        <f aca="false">IF(Effort!C12=1,Effort!B12,"")</f>
        <v/>
      </c>
      <c r="C43" s="9" t="str">
        <f aca="false">IF(Effort!C12=1,Scope!$C12&amp;" -&gt; "&amp;Scope!$D12,"")</f>
        <v/>
      </c>
      <c r="D43" s="22" t="str">
        <f aca="false">IF(Effort!C12=1,Effort!R12,"")</f>
        <v/>
      </c>
      <c r="E43" s="22" t="str">
        <f aca="false">IF(Effort!C12=1,Effort!AP12,"")</f>
        <v/>
      </c>
      <c r="F43" s="32" t="str">
        <f aca="false">IF(Effort!C12=1,Effort!AN12,"")</f>
        <v/>
      </c>
      <c r="G43" s="2"/>
      <c r="H43" s="2"/>
      <c r="I43" s="2"/>
      <c r="J43" s="2"/>
      <c r="K43" s="2"/>
      <c r="L43" s="2"/>
    </row>
    <row r="44" customFormat="false" ht="15" hidden="false" customHeight="false" outlineLevel="0" collapsed="false">
      <c r="A44" s="2"/>
      <c r="B44" s="9" t="str">
        <f aca="false">IF(Effort!C13=1,Effort!B13,"")</f>
        <v/>
      </c>
      <c r="C44" s="9" t="str">
        <f aca="false">IF(Effort!C13=1,Scope!$C13&amp;" -&gt; "&amp;Scope!$D13,"")</f>
        <v/>
      </c>
      <c r="D44" s="22" t="str">
        <f aca="false">IF(Effort!C13=1,Effort!R13,"")</f>
        <v/>
      </c>
      <c r="E44" s="22" t="str">
        <f aca="false">IF(Effort!C13=1,Effort!AP13,"")</f>
        <v/>
      </c>
      <c r="F44" s="32" t="str">
        <f aca="false">IF(Effort!C13=1,Effort!AN13,"")</f>
        <v/>
      </c>
      <c r="G44" s="2"/>
      <c r="H44" s="2"/>
      <c r="I44" s="2"/>
      <c r="J44" s="2"/>
      <c r="K44" s="2"/>
      <c r="L44" s="2"/>
    </row>
    <row r="45" customFormat="false" ht="15" hidden="false" customHeight="false" outlineLevel="0" collapsed="false">
      <c r="A45" s="2"/>
      <c r="B45" s="9" t="str">
        <f aca="false">IF(Effort!C14=1,Effort!B14,"")</f>
        <v/>
      </c>
      <c r="C45" s="9" t="str">
        <f aca="false">IF(Effort!C14=1,Scope!$C14&amp;" -&gt; "&amp;Scope!$D14,"")</f>
        <v/>
      </c>
      <c r="D45" s="22" t="str">
        <f aca="false">IF(Effort!C14=1,Effort!R14,"")</f>
        <v/>
      </c>
      <c r="E45" s="22" t="str">
        <f aca="false">IF(Effort!C14=1,Effort!AP14,"")</f>
        <v/>
      </c>
      <c r="F45" s="32" t="str">
        <f aca="false">IF(Effort!C14=1,Effort!AN14,"")</f>
        <v/>
      </c>
      <c r="G45" s="2"/>
      <c r="H45" s="2"/>
      <c r="I45" s="2"/>
      <c r="J45" s="2"/>
      <c r="K45" s="2"/>
      <c r="L45" s="2"/>
    </row>
    <row r="46" customFormat="false" ht="15" hidden="false" customHeight="false" outlineLevel="0" collapsed="false">
      <c r="A46" s="2"/>
      <c r="B46" s="9" t="str">
        <f aca="false">IF(Effort!C15=1,Effort!B15,"")</f>
        <v/>
      </c>
      <c r="C46" s="9" t="str">
        <f aca="false">IF(Effort!C15=1,Scope!$C15&amp;" -&gt; "&amp;Scope!$D15,"")</f>
        <v/>
      </c>
      <c r="D46" s="22" t="str">
        <f aca="false">IF(Effort!C15=1,Effort!R15,"")</f>
        <v/>
      </c>
      <c r="E46" s="22" t="str">
        <f aca="false">IF(Effort!C15=1,Effort!AP15,"")</f>
        <v/>
      </c>
      <c r="F46" s="32" t="str">
        <f aca="false">IF(Effort!C15=1,Effort!AN15,"")</f>
        <v/>
      </c>
      <c r="G46" s="2"/>
      <c r="H46" s="2"/>
      <c r="I46" s="2"/>
      <c r="J46" s="2"/>
      <c r="K46" s="2"/>
      <c r="L46" s="2"/>
    </row>
    <row r="47" customFormat="false" ht="15" hidden="false" customHeight="false" outlineLevel="0" collapsed="false">
      <c r="A47" s="2"/>
      <c r="B47" s="9" t="str">
        <f aca="false">IF(Effort!C16=1,Effort!B16,"")</f>
        <v/>
      </c>
      <c r="C47" s="9" t="str">
        <f aca="false">IF(Effort!C16=1,Scope!$C16&amp;" -&gt; "&amp;Scope!$D16,"")</f>
        <v/>
      </c>
      <c r="D47" s="22" t="str">
        <f aca="false">IF(Effort!C16=1,Effort!R16,"")</f>
        <v/>
      </c>
      <c r="E47" s="22" t="str">
        <f aca="false">IF(Effort!C16=1,Effort!AP16,"")</f>
        <v/>
      </c>
      <c r="F47" s="32" t="str">
        <f aca="false">IF(Effort!C16=1,Effort!AN16,"")</f>
        <v/>
      </c>
      <c r="G47" s="2"/>
      <c r="H47" s="2"/>
      <c r="I47" s="2"/>
      <c r="J47" s="2"/>
      <c r="K47" s="2"/>
      <c r="L47" s="2"/>
    </row>
    <row r="48" customFormat="false" ht="15" hidden="false" customHeight="false" outlineLevel="0" collapsed="false">
      <c r="A48" s="2"/>
      <c r="B48" s="9" t="str">
        <f aca="false">IF(Effort!C17=1,Effort!B17,"")</f>
        <v/>
      </c>
      <c r="C48" s="9" t="str">
        <f aca="false">IF(Effort!C17=1,Scope!$C17&amp;" -&gt; "&amp;Scope!$D17,"")</f>
        <v/>
      </c>
      <c r="D48" s="22" t="str">
        <f aca="false">IF(Effort!C17=1,Effort!R17,"")</f>
        <v/>
      </c>
      <c r="E48" s="22" t="str">
        <f aca="false">IF(Effort!C17=1,Effort!AP17,"")</f>
        <v/>
      </c>
      <c r="F48" s="32" t="str">
        <f aca="false">IF(Effort!C17=1,Effort!AN17,"")</f>
        <v/>
      </c>
      <c r="G48" s="2"/>
      <c r="H48" s="2"/>
      <c r="I48" s="2"/>
      <c r="J48" s="2"/>
      <c r="K48" s="2"/>
      <c r="L48" s="2"/>
    </row>
    <row r="49" customFormat="false" ht="15" hidden="false" customHeight="false" outlineLevel="0" collapsed="false">
      <c r="A49" s="2"/>
      <c r="B49" s="9" t="str">
        <f aca="false">IF(Effort!C18=1,Effort!B18,"")</f>
        <v/>
      </c>
      <c r="C49" s="9" t="str">
        <f aca="false">IF(Effort!C18=1,Scope!$C18&amp;" -&gt; "&amp;Scope!$D18,"")</f>
        <v/>
      </c>
      <c r="D49" s="22" t="str">
        <f aca="false">IF(Effort!C18=1,Effort!R18,"")</f>
        <v/>
      </c>
      <c r="E49" s="22" t="str">
        <f aca="false">IF(Effort!C18=1,Effort!AP18,"")</f>
        <v/>
      </c>
      <c r="F49" s="32" t="str">
        <f aca="false">IF(Effort!C18=1,Effort!AN18,"")</f>
        <v/>
      </c>
      <c r="G49" s="2"/>
      <c r="H49" s="2"/>
      <c r="I49" s="2"/>
      <c r="J49" s="2"/>
      <c r="K49" s="2"/>
      <c r="L49" s="2"/>
    </row>
    <row r="50" customFormat="false" ht="15" hidden="false" customHeight="false" outlineLevel="0" collapsed="false">
      <c r="A50" s="2"/>
      <c r="B50" s="9" t="str">
        <f aca="false">IF(Effort!C19=1,Effort!B19,"")</f>
        <v/>
      </c>
      <c r="C50" s="9" t="str">
        <f aca="false">IF(Effort!C19=1,Scope!$C19&amp;" -&gt; "&amp;Scope!$D19,"")</f>
        <v/>
      </c>
      <c r="D50" s="22" t="str">
        <f aca="false">IF(Effort!C19=1,Effort!R19,"")</f>
        <v/>
      </c>
      <c r="E50" s="22" t="str">
        <f aca="false">IF(Effort!C19=1,Effort!AP19,"")</f>
        <v/>
      </c>
      <c r="F50" s="32" t="str">
        <f aca="false">IF(Effort!C19=1,Effort!AN19,"")</f>
        <v/>
      </c>
      <c r="G50" s="2"/>
      <c r="H50" s="2"/>
      <c r="I50" s="2"/>
      <c r="J50" s="2"/>
      <c r="K50" s="2"/>
      <c r="L50" s="2"/>
    </row>
    <row r="51" customFormat="false" ht="15" hidden="false" customHeight="false" outlineLevel="0" collapsed="false">
      <c r="A51" s="2"/>
      <c r="B51" s="9" t="str">
        <f aca="false">IF(Effort!C20=1,Effort!B20,"")</f>
        <v/>
      </c>
      <c r="C51" s="9" t="str">
        <f aca="false">IF(Effort!C20=1,Scope!$C20&amp;" -&gt; "&amp;Scope!$D20,"")</f>
        <v/>
      </c>
      <c r="D51" s="22" t="str">
        <f aca="false">IF(Effort!C20=1,Effort!R20,"")</f>
        <v/>
      </c>
      <c r="E51" s="22" t="str">
        <f aca="false">IF(Effort!C20=1,Effort!AP20,"")</f>
        <v/>
      </c>
      <c r="F51" s="32" t="str">
        <f aca="false">IF(Effort!C20=1,Effort!AN20,"")</f>
        <v/>
      </c>
      <c r="G51" s="2"/>
      <c r="H51" s="2"/>
      <c r="I51" s="2"/>
      <c r="J51" s="2"/>
      <c r="K51" s="2"/>
      <c r="L51" s="2"/>
    </row>
    <row r="52" customFormat="false" ht="15" hidden="false" customHeight="false" outlineLevel="0" collapsed="false">
      <c r="A52" s="2"/>
      <c r="B52" s="9" t="str">
        <f aca="false">IF(Effort!C21=1,Effort!B21,"")</f>
        <v/>
      </c>
      <c r="C52" s="9" t="str">
        <f aca="false">IF(Effort!C21=1,Scope!$C21&amp;" -&gt; "&amp;Scope!$D21,"")</f>
        <v/>
      </c>
      <c r="D52" s="22" t="str">
        <f aca="false">IF(Effort!C21=1,Effort!R21,"")</f>
        <v/>
      </c>
      <c r="E52" s="22" t="str">
        <f aca="false">IF(Effort!C21=1,Effort!AP21,"")</f>
        <v/>
      </c>
      <c r="F52" s="32" t="str">
        <f aca="false">IF(Effort!C21=1,Effort!AN21,"")</f>
        <v/>
      </c>
      <c r="G52" s="2"/>
      <c r="H52" s="2"/>
      <c r="I52" s="2"/>
      <c r="J52" s="2"/>
      <c r="K52" s="2"/>
      <c r="L52" s="2"/>
    </row>
    <row r="53" customFormat="false" ht="15" hidden="false" customHeight="false" outlineLevel="0" collapsed="false">
      <c r="A53" s="2"/>
      <c r="B53" s="9" t="str">
        <f aca="false">IF(Effort!C22=1,Effort!B22,"")</f>
        <v/>
      </c>
      <c r="C53" s="9" t="str">
        <f aca="false">IF(Effort!C22=1,Scope!$C22&amp;" -&gt; "&amp;Scope!$D22,"")</f>
        <v/>
      </c>
      <c r="D53" s="22" t="str">
        <f aca="false">IF(Effort!C22=1,Effort!R22,"")</f>
        <v/>
      </c>
      <c r="E53" s="22" t="str">
        <f aca="false">IF(Effort!C22=1,Effort!AP22,"")</f>
        <v/>
      </c>
      <c r="F53" s="32" t="str">
        <f aca="false">IF(Effort!C22=1,Effort!AN22,"")</f>
        <v/>
      </c>
      <c r="G53" s="2"/>
      <c r="H53" s="2"/>
      <c r="I53" s="2"/>
      <c r="J53" s="2"/>
      <c r="K53" s="2"/>
      <c r="L53" s="2"/>
    </row>
    <row r="54" customFormat="false" ht="15" hidden="false" customHeight="false" outlineLevel="0" collapsed="false">
      <c r="A54" s="2"/>
      <c r="B54" s="9" t="str">
        <f aca="false">IF(Effort!C23=1,Effort!B23,"")</f>
        <v/>
      </c>
      <c r="C54" s="9" t="str">
        <f aca="false">IF(Effort!C23=1,Scope!$C23&amp;" -&gt; "&amp;Scope!$D23,"")</f>
        <v/>
      </c>
      <c r="D54" s="22" t="str">
        <f aca="false">IF(Effort!C23=1,Effort!R23,"")</f>
        <v/>
      </c>
      <c r="E54" s="22" t="str">
        <f aca="false">IF(Effort!C23=1,Effort!AP23,"")</f>
        <v/>
      </c>
      <c r="F54" s="32" t="str">
        <f aca="false">IF(Effort!C23=1,Effort!AN23,"")</f>
        <v/>
      </c>
      <c r="G54" s="2"/>
      <c r="H54" s="2"/>
      <c r="I54" s="2"/>
      <c r="J54" s="2"/>
      <c r="K54" s="2"/>
      <c r="L54" s="2"/>
    </row>
    <row r="55" customFormat="false" ht="15" hidden="false" customHeight="false" outlineLevel="0" collapsed="false">
      <c r="A55" s="2"/>
      <c r="B55" s="9" t="str">
        <f aca="false">IF(Effort!C24=1,Effort!B24,"")</f>
        <v/>
      </c>
      <c r="C55" s="9" t="str">
        <f aca="false">IF(Effort!C24=1,Scope!$C24&amp;" -&gt; "&amp;Scope!$D24,"")</f>
        <v/>
      </c>
      <c r="D55" s="22" t="str">
        <f aca="false">IF(Effort!C24=1,Effort!R24,"")</f>
        <v/>
      </c>
      <c r="E55" s="22" t="str">
        <f aca="false">IF(Effort!C24=1,Effort!AP24,"")</f>
        <v/>
      </c>
      <c r="F55" s="32" t="str">
        <f aca="false">IF(Effort!C24=1,Effort!AN24,"")</f>
        <v/>
      </c>
      <c r="G55" s="2"/>
      <c r="H55" s="2"/>
      <c r="I55" s="2"/>
      <c r="J55" s="2"/>
      <c r="K55" s="2"/>
      <c r="L55" s="2"/>
    </row>
    <row r="56" customFormat="false" ht="15" hidden="false" customHeight="false" outlineLevel="0" collapsed="false">
      <c r="A56" s="2"/>
      <c r="B56" s="9" t="str">
        <f aca="false">IF(Effort!C25=1,Effort!B25,"")</f>
        <v/>
      </c>
      <c r="C56" s="9" t="str">
        <f aca="false">IF(Effort!C25=1,Scope!$C25&amp;" -&gt; "&amp;Scope!$D25,"")</f>
        <v/>
      </c>
      <c r="D56" s="22" t="str">
        <f aca="false">IF(Effort!C25=1,Effort!R25,"")</f>
        <v/>
      </c>
      <c r="E56" s="22" t="str">
        <f aca="false">IF(Effort!C25=1,Effort!AP25,"")</f>
        <v/>
      </c>
      <c r="F56" s="32" t="str">
        <f aca="false">IF(Effort!C25=1,Effort!AN25,"")</f>
        <v/>
      </c>
      <c r="G56" s="2"/>
      <c r="H56" s="2"/>
      <c r="I56" s="2"/>
      <c r="J56" s="2"/>
      <c r="K56" s="2"/>
      <c r="L56" s="2"/>
    </row>
    <row r="57" customFormat="false" ht="15" hidden="false" customHeight="false" outlineLevel="0" collapsed="false">
      <c r="A57" s="2"/>
      <c r="B57" s="9" t="str">
        <f aca="false">IF(Effort!C26=1,Effort!B26,"")</f>
        <v/>
      </c>
      <c r="C57" s="9" t="str">
        <f aca="false">IF(Effort!C26=1,Scope!$C26&amp;" -&gt; "&amp;Scope!$D26,"")</f>
        <v/>
      </c>
      <c r="D57" s="22" t="str">
        <f aca="false">IF(Effort!C26=1,Effort!R26,"")</f>
        <v/>
      </c>
      <c r="E57" s="22" t="str">
        <f aca="false">IF(Effort!C26=1,Effort!AP26,"")</f>
        <v/>
      </c>
      <c r="F57" s="32" t="str">
        <f aca="false">IF(Effort!C26=1,Effort!AN26,"")</f>
        <v/>
      </c>
      <c r="G57" s="2"/>
      <c r="H57" s="2"/>
      <c r="I57" s="2"/>
      <c r="J57" s="2"/>
      <c r="K57" s="2"/>
      <c r="L57" s="2"/>
    </row>
  </sheetData>
  <sheetProtection sheet="true" formatColumns="false" formatRows="false"/>
  <mergeCells count="17">
    <mergeCell ref="B4:L4"/>
    <mergeCell ref="B6:C6"/>
    <mergeCell ref="D6:F6"/>
    <mergeCell ref="H6:I6"/>
    <mergeCell ref="J6:L6"/>
    <mergeCell ref="B7:C7"/>
    <mergeCell ref="D7:F7"/>
    <mergeCell ref="H7:I7"/>
    <mergeCell ref="J7:L7"/>
    <mergeCell ref="B9:C9"/>
    <mergeCell ref="D9:F9"/>
    <mergeCell ref="H9:I9"/>
    <mergeCell ref="J9:L9"/>
    <mergeCell ref="B10:C10"/>
    <mergeCell ref="D10:F10"/>
    <mergeCell ref="H10:I10"/>
    <mergeCell ref="J10:L10"/>
  </mergeCells>
  <conditionalFormatting sqref="B4:L4">
    <cfRule type="expression" priority="2" aboveAverage="0" equalAverage="0" bottom="0" percent="0" rank="0" text="" dxfId="0">
      <formula>FailCount=0</formula>
    </cfRule>
    <cfRule type="expression" priority="3" aboveAverage="0" equalAverage="0" bottom="0" percent="0" rank="0" text="" dxfId="1">
      <formula>FailCount&gt;0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3" min="3" style="0" width="34"/>
    <col collapsed="false" customWidth="true" hidden="false" outlineLevel="0" max="5" min="4" style="0" width="16"/>
    <col collapsed="false" customWidth="true" hidden="false" outlineLevel="0" max="6" min="6" style="0" width="60"/>
  </cols>
  <sheetData>
    <row r="1" customFormat="false" ht="19.7" hidden="false" customHeight="false" outlineLevel="0" collapsed="false">
      <c r="A1" s="1" t="s">
        <v>27</v>
      </c>
      <c r="B1" s="2"/>
      <c r="C1" s="2"/>
      <c r="D1" s="2"/>
      <c r="E1" s="2"/>
    </row>
    <row r="2" customFormat="false" ht="15" hidden="false" customHeight="false" outlineLevel="0" collapsed="false">
      <c r="A2" s="3" t="s">
        <v>110</v>
      </c>
      <c r="B2" s="2"/>
      <c r="C2" s="2"/>
      <c r="D2" s="2"/>
      <c r="E2" s="2"/>
    </row>
    <row r="3" customFormat="false" ht="15" hidden="false" customHeight="false" outlineLevel="0" collapsed="false">
      <c r="A3" s="2"/>
      <c r="B3" s="2"/>
      <c r="C3" s="2"/>
      <c r="D3" s="2"/>
      <c r="E3" s="2"/>
    </row>
    <row r="4" customFormat="false" ht="15" hidden="false" customHeight="false" outlineLevel="0" collapsed="false">
      <c r="A4" s="2"/>
      <c r="B4" s="19" t="s">
        <v>111</v>
      </c>
      <c r="C4" s="20"/>
      <c r="D4" s="2"/>
      <c r="E4" s="2"/>
    </row>
    <row r="5" customFormat="false" ht="15" hidden="false" customHeight="false" outlineLevel="0" collapsed="false">
      <c r="A5" s="2"/>
      <c r="B5" s="9" t="s">
        <v>112</v>
      </c>
      <c r="C5" s="33" t="s">
        <v>113</v>
      </c>
      <c r="D5" s="2"/>
      <c r="E5" s="2"/>
    </row>
    <row r="6" customFormat="false" ht="15" hidden="false" customHeight="false" outlineLevel="0" collapsed="false">
      <c r="A6" s="2"/>
      <c r="B6" s="9" t="s">
        <v>114</v>
      </c>
      <c r="C6" s="33" t="s">
        <v>115</v>
      </c>
      <c r="D6" s="2"/>
      <c r="E6" s="2"/>
    </row>
    <row r="7" customFormat="false" ht="15" hidden="false" customHeight="false" outlineLevel="0" collapsed="false">
      <c r="A7" s="2"/>
      <c r="B7" s="9" t="s">
        <v>116</v>
      </c>
      <c r="C7" s="33" t="s">
        <v>117</v>
      </c>
      <c r="D7" s="2"/>
      <c r="E7" s="2"/>
    </row>
    <row r="8" customFormat="false" ht="15" hidden="false" customHeight="false" outlineLevel="0" collapsed="false">
      <c r="A8" s="2"/>
      <c r="B8" s="9" t="s">
        <v>118</v>
      </c>
      <c r="C8" s="33"/>
      <c r="D8" s="2"/>
      <c r="E8" s="2"/>
    </row>
    <row r="9" customFormat="false" ht="15" hidden="false" customHeight="false" outlineLevel="0" collapsed="false">
      <c r="A9" s="2"/>
      <c r="B9" s="9" t="s">
        <v>119</v>
      </c>
      <c r="C9" s="34" t="n">
        <v>46308</v>
      </c>
      <c r="D9" s="2"/>
      <c r="E9" s="2"/>
    </row>
    <row r="10" customFormat="false" ht="15" hidden="false" customHeight="false" outlineLevel="0" collapsed="false">
      <c r="A10" s="2"/>
      <c r="B10" s="9" t="s">
        <v>120</v>
      </c>
      <c r="C10" s="33" t="s">
        <v>121</v>
      </c>
      <c r="D10" s="2"/>
      <c r="E10" s="2"/>
    </row>
    <row r="11" customFormat="false" ht="15" hidden="false" customHeight="false" outlineLevel="0" collapsed="false">
      <c r="A11" s="2"/>
      <c r="B11" s="9" t="s">
        <v>122</v>
      </c>
      <c r="C11" s="34" t="n">
        <v>46391</v>
      </c>
      <c r="D11" s="2"/>
      <c r="E11" s="2"/>
    </row>
    <row r="12" customFormat="false" ht="15" hidden="false" customHeight="false" outlineLevel="0" collapsed="false">
      <c r="A12" s="2"/>
      <c r="B12" s="2"/>
      <c r="C12" s="2"/>
      <c r="D12" s="2"/>
      <c r="E12" s="2"/>
    </row>
    <row r="13" customFormat="false" ht="15" hidden="false" customHeight="false" outlineLevel="0" collapsed="false">
      <c r="A13" s="2"/>
      <c r="B13" s="19" t="s">
        <v>123</v>
      </c>
      <c r="C13" s="20"/>
      <c r="D13" s="2"/>
      <c r="E13" s="2"/>
    </row>
    <row r="14" customFormat="false" ht="15" hidden="false" customHeight="false" outlineLevel="0" collapsed="false">
      <c r="A14" s="2"/>
      <c r="B14" s="9" t="s">
        <v>124</v>
      </c>
      <c r="C14" s="33" t="n">
        <v>2</v>
      </c>
      <c r="D14" s="2"/>
      <c r="E14" s="2"/>
    </row>
    <row r="15" customFormat="false" ht="15" hidden="false" customHeight="false" outlineLevel="0" collapsed="false">
      <c r="A15" s="2"/>
      <c r="B15" s="9" t="s">
        <v>125</v>
      </c>
      <c r="C15" s="33" t="n">
        <v>40</v>
      </c>
      <c r="D15" s="2"/>
      <c r="E15" s="2"/>
    </row>
    <row r="16" customFormat="false" ht="15" hidden="false" customHeight="false" outlineLevel="0" collapsed="false">
      <c r="A16" s="2"/>
      <c r="B16" s="9" t="s">
        <v>126</v>
      </c>
      <c r="C16" s="35" t="n">
        <v>0.04</v>
      </c>
      <c r="D16" s="2"/>
      <c r="E16" s="2"/>
    </row>
    <row r="17" customFormat="false" ht="15" hidden="false" customHeight="false" outlineLevel="0" collapsed="false">
      <c r="A17" s="2"/>
      <c r="B17" s="9" t="s">
        <v>127</v>
      </c>
      <c r="C17" s="33" t="s">
        <v>128</v>
      </c>
      <c r="D17" s="2"/>
      <c r="E17" s="2"/>
    </row>
    <row r="18" customFormat="false" ht="15" hidden="false" customHeight="false" outlineLevel="0" collapsed="false">
      <c r="A18" s="2"/>
      <c r="B18" s="9" t="s">
        <v>129</v>
      </c>
      <c r="C18" s="33" t="s">
        <v>130</v>
      </c>
      <c r="D18" s="2"/>
      <c r="E18" s="2"/>
    </row>
    <row r="19" customFormat="false" ht="15" hidden="false" customHeight="false" outlineLevel="0" collapsed="false">
      <c r="A19" s="2"/>
      <c r="B19" s="9" t="s">
        <v>131</v>
      </c>
      <c r="C19" s="33" t="n">
        <v>10</v>
      </c>
      <c r="D19" s="2"/>
      <c r="E19" s="2"/>
    </row>
    <row r="20" customFormat="false" ht="15" hidden="false" customHeight="false" outlineLevel="0" collapsed="false">
      <c r="A20" s="2"/>
      <c r="B20" s="9" t="s">
        <v>132</v>
      </c>
      <c r="C20" s="33" t="n">
        <v>8</v>
      </c>
      <c r="D20" s="2"/>
      <c r="E20" s="2"/>
    </row>
    <row r="21" customFormat="false" ht="15" hidden="false" customHeight="false" outlineLevel="0" collapsed="false">
      <c r="A21" s="2"/>
      <c r="B21" s="9" t="s">
        <v>133</v>
      </c>
      <c r="C21" s="33" t="n">
        <v>3</v>
      </c>
      <c r="D21" s="2"/>
      <c r="E21" s="2"/>
    </row>
    <row r="22" customFormat="false" ht="15" hidden="false" customHeight="false" outlineLevel="0" collapsed="false">
      <c r="A22" s="2"/>
      <c r="B22" s="9" t="s">
        <v>134</v>
      </c>
      <c r="C22" s="33" t="n">
        <v>3</v>
      </c>
      <c r="D22" s="2"/>
      <c r="E22" s="2"/>
    </row>
    <row r="23" customFormat="false" ht="15" hidden="false" customHeight="false" outlineLevel="0" collapsed="false">
      <c r="A23" s="2"/>
      <c r="B23" s="9" t="s">
        <v>135</v>
      </c>
      <c r="C23" s="33" t="n">
        <v>3</v>
      </c>
      <c r="D23" s="2"/>
      <c r="E23" s="2"/>
    </row>
    <row r="24" customFormat="false" ht="15" hidden="false" customHeight="false" outlineLevel="0" collapsed="false">
      <c r="A24" s="2"/>
      <c r="B24" s="9" t="s">
        <v>136</v>
      </c>
      <c r="C24" s="33" t="n">
        <v>2</v>
      </c>
      <c r="D24" s="2"/>
      <c r="E24" s="2"/>
    </row>
    <row r="25" customFormat="false" ht="15" hidden="false" customHeight="false" outlineLevel="0" collapsed="false">
      <c r="A25" s="2"/>
      <c r="B25" s="9" t="s">
        <v>137</v>
      </c>
      <c r="C25" s="35" t="n">
        <v>0.5</v>
      </c>
      <c r="D25" s="2"/>
      <c r="E25" s="2"/>
    </row>
    <row r="26" customFormat="false" ht="15" hidden="false" customHeight="false" outlineLevel="0" collapsed="false">
      <c r="A26" s="2"/>
      <c r="B26" s="9" t="s">
        <v>138</v>
      </c>
      <c r="C26" s="33" t="n">
        <v>2</v>
      </c>
      <c r="D26" s="2"/>
      <c r="E26" s="2"/>
    </row>
    <row r="27" customFormat="false" ht="15" hidden="false" customHeight="false" outlineLevel="0" collapsed="false">
      <c r="A27" s="2"/>
      <c r="B27" s="9" t="s">
        <v>139</v>
      </c>
      <c r="C27" s="33" t="n">
        <v>0.5</v>
      </c>
      <c r="D27" s="2"/>
      <c r="E27" s="2"/>
    </row>
    <row r="28" customFormat="false" ht="15" hidden="false" customHeight="false" outlineLevel="0" collapsed="false">
      <c r="A28" s="2"/>
      <c r="B28" s="9" t="s">
        <v>140</v>
      </c>
      <c r="C28" s="33" t="n">
        <v>1</v>
      </c>
      <c r="D28" s="2"/>
      <c r="E28" s="2"/>
    </row>
    <row r="29" customFormat="false" ht="15" hidden="false" customHeight="false" outlineLevel="0" collapsed="false">
      <c r="A29" s="2"/>
      <c r="B29" s="2"/>
      <c r="C29" s="2"/>
      <c r="D29" s="2"/>
      <c r="E29" s="2"/>
    </row>
    <row r="30" customFormat="false" ht="15" hidden="false" customHeight="false" outlineLevel="0" collapsed="false">
      <c r="A30" s="2"/>
      <c r="B30" s="19" t="s">
        <v>141</v>
      </c>
      <c r="C30" s="20"/>
      <c r="D30" s="2"/>
      <c r="E30" s="2"/>
    </row>
    <row r="31" customFormat="false" ht="15" hidden="false" customHeight="false" outlineLevel="0" collapsed="false">
      <c r="A31" s="2"/>
      <c r="B31" s="9" t="s">
        <v>142</v>
      </c>
      <c r="C31" s="33" t="n">
        <v>1</v>
      </c>
      <c r="D31" s="2"/>
      <c r="E31" s="2"/>
    </row>
    <row r="32" customFormat="false" ht="15" hidden="false" customHeight="false" outlineLevel="0" collapsed="false">
      <c r="A32" s="2"/>
      <c r="B32" s="9" t="s">
        <v>143</v>
      </c>
      <c r="C32" s="33" t="n">
        <v>1</v>
      </c>
      <c r="D32" s="2"/>
      <c r="E32" s="2"/>
    </row>
    <row r="33" customFormat="false" ht="15" hidden="false" customHeight="false" outlineLevel="0" collapsed="false">
      <c r="A33" s="2"/>
      <c r="B33" s="9" t="s">
        <v>144</v>
      </c>
      <c r="C33" s="35" t="n">
        <v>0.15</v>
      </c>
      <c r="D33" s="2"/>
      <c r="E33" s="2"/>
    </row>
    <row r="34" customFormat="false" ht="15" hidden="false" customHeight="false" outlineLevel="0" collapsed="false">
      <c r="A34" s="2"/>
      <c r="B34" s="9" t="s">
        <v>145</v>
      </c>
      <c r="C34" s="33" t="n">
        <v>8</v>
      </c>
      <c r="D34" s="2"/>
      <c r="E34" s="2"/>
    </row>
    <row r="35" customFormat="false" ht="15" hidden="false" customHeight="false" outlineLevel="0" collapsed="false">
      <c r="A35" s="2"/>
      <c r="B35" s="9" t="s">
        <v>146</v>
      </c>
      <c r="C35" s="33" t="n">
        <v>1</v>
      </c>
      <c r="D35" s="2"/>
      <c r="E35" s="2"/>
    </row>
    <row r="36" customFormat="false" ht="15" hidden="false" customHeight="false" outlineLevel="0" collapsed="false">
      <c r="A36" s="2"/>
      <c r="B36" s="9" t="s">
        <v>147</v>
      </c>
      <c r="C36" s="33" t="n">
        <v>1</v>
      </c>
      <c r="D36" s="2"/>
      <c r="E36" s="2"/>
    </row>
    <row r="37" customFormat="false" ht="15" hidden="false" customHeight="false" outlineLevel="0" collapsed="false">
      <c r="A37" s="2"/>
      <c r="B37" s="9" t="s">
        <v>148</v>
      </c>
      <c r="C37" s="33" t="n">
        <v>1</v>
      </c>
      <c r="D37" s="2"/>
      <c r="E37" s="2"/>
    </row>
    <row r="38" customFormat="false" ht="15" hidden="false" customHeight="false" outlineLevel="0" collapsed="false">
      <c r="A38" s="2"/>
      <c r="B38" s="9" t="s">
        <v>149</v>
      </c>
      <c r="C38" s="33" t="n">
        <v>2</v>
      </c>
      <c r="D38" s="2"/>
      <c r="E38" s="2"/>
    </row>
    <row r="39" customFormat="false" ht="15" hidden="false" customHeight="false" outlineLevel="0" collapsed="false">
      <c r="A39" s="2"/>
      <c r="B39" s="9" t="s">
        <v>150</v>
      </c>
      <c r="C39" s="33" t="n">
        <v>150</v>
      </c>
      <c r="D39" s="2"/>
      <c r="E39" s="2"/>
    </row>
    <row r="40" customFormat="false" ht="15" hidden="false" customHeight="false" outlineLevel="0" collapsed="false">
      <c r="A40" s="2"/>
      <c r="B40" s="9" t="s">
        <v>151</v>
      </c>
      <c r="C40" s="33" t="n">
        <v>1</v>
      </c>
      <c r="D40" s="2"/>
      <c r="E40" s="2"/>
    </row>
    <row r="41" customFormat="false" ht="15" hidden="false" customHeight="false" outlineLevel="0" collapsed="false">
      <c r="A41" s="2"/>
      <c r="B41" s="9" t="s">
        <v>152</v>
      </c>
      <c r="C41" s="33" t="n">
        <v>1</v>
      </c>
      <c r="D41" s="2"/>
      <c r="E41" s="2"/>
    </row>
    <row r="42" customFormat="false" ht="15" hidden="false" customHeight="false" outlineLevel="0" collapsed="false">
      <c r="A42" s="2"/>
      <c r="B42" s="9" t="s">
        <v>153</v>
      </c>
      <c r="C42" s="33" t="n">
        <v>1</v>
      </c>
      <c r="D42" s="2"/>
      <c r="E42" s="2"/>
    </row>
    <row r="43" customFormat="false" ht="15" hidden="false" customHeight="false" outlineLevel="0" collapsed="false">
      <c r="A43" s="2"/>
      <c r="B43" s="9" t="s">
        <v>154</v>
      </c>
      <c r="C43" s="33" t="s">
        <v>155</v>
      </c>
      <c r="D43" s="2"/>
      <c r="E43" s="2"/>
    </row>
    <row r="44" customFormat="false" ht="15" hidden="false" customHeight="false" outlineLevel="0" collapsed="false">
      <c r="A44" s="2"/>
      <c r="B44" s="9" t="s">
        <v>156</v>
      </c>
      <c r="C44" s="33" t="n">
        <v>2</v>
      </c>
      <c r="D44" s="2"/>
      <c r="E44" s="2"/>
    </row>
    <row r="45" customFormat="false" ht="15" hidden="false" customHeight="false" outlineLevel="0" collapsed="false">
      <c r="A45" s="2"/>
      <c r="B45" s="9" t="s">
        <v>157</v>
      </c>
      <c r="C45" s="33" t="n">
        <v>2</v>
      </c>
      <c r="D45" s="2"/>
      <c r="E45" s="2"/>
    </row>
    <row r="46" customFormat="false" ht="15" hidden="false" customHeight="false" outlineLevel="0" collapsed="false">
      <c r="A46" s="2"/>
      <c r="B46" s="2"/>
      <c r="C46" s="2"/>
      <c r="D46" s="2"/>
      <c r="E46" s="2"/>
    </row>
    <row r="47" customFormat="false" ht="15" hidden="false" customHeight="false" outlineLevel="0" collapsed="false">
      <c r="A47" s="2"/>
      <c r="B47" s="19" t="s">
        <v>158</v>
      </c>
      <c r="C47" s="20"/>
      <c r="D47" s="20"/>
      <c r="E47" s="20"/>
    </row>
    <row r="48" customFormat="false" ht="30" hidden="false" customHeight="true" outlineLevel="0" collapsed="false">
      <c r="A48" s="2"/>
      <c r="B48" s="21" t="s">
        <v>74</v>
      </c>
      <c r="C48" s="21" t="s">
        <v>159</v>
      </c>
      <c r="D48" s="21" t="s">
        <v>160</v>
      </c>
      <c r="E48" s="21" t="s">
        <v>161</v>
      </c>
    </row>
    <row r="49" customFormat="false" ht="15" hidden="false" customHeight="false" outlineLevel="0" collapsed="false">
      <c r="A49" s="2"/>
      <c r="B49" s="9" t="s">
        <v>162</v>
      </c>
      <c r="C49" s="35" t="n">
        <v>0</v>
      </c>
      <c r="D49" s="32" t="n">
        <f aca="false">CapAssess</f>
        <v>0.6</v>
      </c>
      <c r="E49" s="23" t="n">
        <f aca="false">C49*D49</f>
        <v>0</v>
      </c>
    </row>
    <row r="50" customFormat="false" ht="15" hidden="false" customHeight="false" outlineLevel="0" collapsed="false">
      <c r="A50" s="2"/>
      <c r="B50" s="9" t="s">
        <v>163</v>
      </c>
      <c r="C50" s="35" t="n">
        <v>0</v>
      </c>
      <c r="D50" s="32" t="n">
        <f aca="false">CapSem</f>
        <v>0.4</v>
      </c>
      <c r="E50" s="23" t="n">
        <f aca="false">C50*D50</f>
        <v>0</v>
      </c>
    </row>
    <row r="51" customFormat="false" ht="15" hidden="false" customHeight="false" outlineLevel="0" collapsed="false">
      <c r="A51" s="2"/>
      <c r="B51" s="9" t="s">
        <v>164</v>
      </c>
      <c r="C51" s="35" t="n">
        <v>0</v>
      </c>
      <c r="D51" s="32" t="n">
        <f aca="false">CapRep</f>
        <v>0.6</v>
      </c>
      <c r="E51" s="23" t="n">
        <f aca="false">C51*D51</f>
        <v>0</v>
      </c>
    </row>
    <row r="52" customFormat="false" ht="15" hidden="false" customHeight="false" outlineLevel="0" collapsed="false">
      <c r="A52" s="2"/>
      <c r="B52" s="9" t="s">
        <v>165</v>
      </c>
      <c r="C52" s="35" t="n">
        <v>0</v>
      </c>
      <c r="D52" s="32" t="n">
        <f aca="false">CapSIT</f>
        <v>0.3</v>
      </c>
      <c r="E52" s="23" t="n">
        <f aca="false">C52*D52</f>
        <v>0</v>
      </c>
    </row>
    <row r="53" customFormat="false" ht="15" hidden="false" customHeight="false" outlineLevel="0" collapsed="false">
      <c r="A53" s="2"/>
      <c r="B53" s="9" t="s">
        <v>87</v>
      </c>
      <c r="C53" s="35" t="n">
        <v>0</v>
      </c>
      <c r="D53" s="32" t="n">
        <f aca="false">CapUAT</f>
        <v>0.2</v>
      </c>
      <c r="E53" s="23" t="n">
        <f aca="false">C53*D53</f>
        <v>0</v>
      </c>
    </row>
    <row r="54" customFormat="false" ht="15" hidden="false" customHeight="false" outlineLevel="0" collapsed="false">
      <c r="A54" s="2"/>
      <c r="B54" s="9" t="s">
        <v>88</v>
      </c>
      <c r="C54" s="35" t="n">
        <v>0</v>
      </c>
      <c r="D54" s="32" t="n">
        <f aca="false">CapDep</f>
        <v>0.6</v>
      </c>
      <c r="E54" s="23" t="n">
        <f aca="false">C54*D54</f>
        <v>0</v>
      </c>
    </row>
    <row r="55" customFormat="false" ht="15" hidden="false" customHeight="false" outlineLevel="0" collapsed="false">
      <c r="A55" s="2"/>
      <c r="B55" s="2"/>
      <c r="C55" s="2"/>
      <c r="D55" s="2"/>
      <c r="E55" s="2"/>
    </row>
    <row r="56" customFormat="false" ht="15" hidden="false" customHeight="false" outlineLevel="0" collapsed="false">
      <c r="A56" s="2"/>
      <c r="B56" s="19" t="s">
        <v>47</v>
      </c>
      <c r="C56" s="20"/>
      <c r="D56" s="2"/>
      <c r="E56" s="2"/>
    </row>
    <row r="57" customFormat="false" ht="15" hidden="false" customHeight="false" outlineLevel="0" collapsed="false">
      <c r="A57" s="2"/>
      <c r="B57" s="9" t="s">
        <v>166</v>
      </c>
      <c r="C57" s="33" t="s">
        <v>167</v>
      </c>
      <c r="D57" s="2"/>
      <c r="E57" s="2"/>
    </row>
    <row r="58" customFormat="false" ht="15" hidden="false" customHeight="false" outlineLevel="0" collapsed="false">
      <c r="A58" s="2"/>
      <c r="B58" s="9" t="s">
        <v>168</v>
      </c>
      <c r="C58" s="36" t="n">
        <v>60</v>
      </c>
      <c r="D58" s="2"/>
      <c r="E58" s="2"/>
    </row>
    <row r="59" customFormat="false" ht="15" hidden="false" customHeight="false" outlineLevel="0" collapsed="false">
      <c r="A59" s="2"/>
      <c r="B59" s="9" t="s">
        <v>169</v>
      </c>
      <c r="C59" s="35" t="n">
        <v>0</v>
      </c>
      <c r="D59" s="2"/>
      <c r="E59" s="2"/>
    </row>
    <row r="60" customFormat="false" ht="15" hidden="false" customHeight="false" outlineLevel="0" collapsed="false">
      <c r="A60" s="2"/>
      <c r="B60" s="9" t="s">
        <v>170</v>
      </c>
      <c r="C60" s="37" t="n">
        <v>0</v>
      </c>
      <c r="D60" s="2"/>
      <c r="E60" s="2"/>
    </row>
    <row r="61" customFormat="false" ht="15" hidden="false" customHeight="false" outlineLevel="0" collapsed="false">
      <c r="A61" s="2"/>
      <c r="B61" s="9" t="s">
        <v>171</v>
      </c>
      <c r="C61" s="37" t="n">
        <v>0</v>
      </c>
      <c r="D61" s="2"/>
      <c r="E61" s="2"/>
    </row>
    <row r="62" customFormat="false" ht="15" hidden="false" customHeight="false" outlineLevel="0" collapsed="false">
      <c r="A62" s="2"/>
      <c r="B62" s="9" t="s">
        <v>172</v>
      </c>
      <c r="C62" s="37" t="n">
        <v>0</v>
      </c>
      <c r="D62" s="2"/>
      <c r="E62" s="2"/>
    </row>
    <row r="63" customFormat="false" ht="15" hidden="false" customHeight="false" outlineLevel="0" collapsed="false">
      <c r="A63" s="2"/>
      <c r="B63" s="2"/>
      <c r="C63" s="2"/>
      <c r="D63" s="2"/>
      <c r="E63" s="2"/>
    </row>
    <row r="64" customFormat="false" ht="15" hidden="false" customHeight="false" outlineLevel="0" collapsed="false">
      <c r="A64" s="2"/>
      <c r="B64" s="19" t="s">
        <v>173</v>
      </c>
      <c r="C64" s="20"/>
      <c r="D64" s="2"/>
      <c r="E64" s="2"/>
    </row>
    <row r="65" customFormat="false" ht="15" hidden="false" customHeight="false" outlineLevel="0" collapsed="false">
      <c r="A65" s="2"/>
      <c r="B65" s="33" t="s">
        <v>174</v>
      </c>
      <c r="C65" s="35" t="n">
        <v>0.1</v>
      </c>
      <c r="D65" s="2"/>
      <c r="E65" s="2"/>
    </row>
    <row r="66" customFormat="false" ht="15" hidden="false" customHeight="false" outlineLevel="0" collapsed="false">
      <c r="A66" s="2"/>
      <c r="B66" s="33" t="s">
        <v>175</v>
      </c>
      <c r="C66" s="35" t="n">
        <v>0.15</v>
      </c>
      <c r="D66" s="2"/>
      <c r="E66" s="2"/>
    </row>
    <row r="67" customFormat="false" ht="15" hidden="false" customHeight="false" outlineLevel="0" collapsed="false">
      <c r="A67" s="2"/>
      <c r="B67" s="33" t="s">
        <v>176</v>
      </c>
      <c r="C67" s="35" t="n">
        <v>0.1</v>
      </c>
      <c r="D67" s="2"/>
      <c r="E67" s="2"/>
    </row>
    <row r="68" customFormat="false" ht="15" hidden="false" customHeight="false" outlineLevel="0" collapsed="false">
      <c r="A68" s="2"/>
      <c r="B68" s="33" t="s">
        <v>177</v>
      </c>
      <c r="C68" s="35" t="n">
        <v>0.25</v>
      </c>
      <c r="D68" s="2"/>
      <c r="E68" s="2"/>
    </row>
    <row r="69" customFormat="false" ht="15" hidden="false" customHeight="false" outlineLevel="0" collapsed="false">
      <c r="A69" s="2"/>
      <c r="B69" s="33" t="s">
        <v>178</v>
      </c>
      <c r="C69" s="35" t="n">
        <v>0.3</v>
      </c>
      <c r="D69" s="2"/>
      <c r="E69" s="2"/>
    </row>
    <row r="70" customFormat="false" ht="15" hidden="false" customHeight="false" outlineLevel="0" collapsed="false">
      <c r="A70" s="2"/>
      <c r="B70" s="33" t="s">
        <v>179</v>
      </c>
      <c r="C70" s="35" t="n">
        <v>0.1</v>
      </c>
      <c r="D70" s="2"/>
      <c r="E70" s="2"/>
    </row>
    <row r="71" customFormat="false" ht="15" hidden="false" customHeight="false" outlineLevel="0" collapsed="false">
      <c r="A71" s="2"/>
      <c r="B71" s="26" t="s">
        <v>91</v>
      </c>
      <c r="C71" s="38" t="n">
        <f aca="false">SUM(C65:C70)</f>
        <v>1</v>
      </c>
      <c r="D71" s="2"/>
      <c r="E71" s="2"/>
    </row>
  </sheetData>
  <sheetProtection sheet="true" formatColumns="false" formatRows="false"/>
  <dataValidations count="19">
    <dataValidation allowBlank="true" error="Enter a value between 0 and 1." errorStyle="stop" errorTitle="Out of range" operator="between" showDropDown="false" showErrorMessage="true" showInputMessage="false" sqref="C25 C27 C33 C49:C54" type="decimal">
      <formula1>0</formula1>
      <formula2>1</formula2>
    </dataValidation>
    <dataValidation allowBlank="true" errorStyle="stop" operator="between" showDropDown="false" showErrorMessage="true" showInputMessage="false" sqref="C14" type="list">
      <formula1>IterLens</formula1>
      <formula2>0</formula2>
    </dataValidation>
    <dataValidation allowBlank="true" errorStyle="stop" operator="between" showDropDown="false" showErrorMessage="true" showInputMessage="false" sqref="C17" type="list">
      <formula1>EngTypes</formula1>
      <formula2>0</formula2>
    </dataValidation>
    <dataValidation allowBlank="true" errorStyle="stop" operator="between" showDropDown="false" showErrorMessage="true" showInputMessage="false" sqref="C18" type="list">
      <formula1>SolveModes</formula1>
      <formula2>0</formula2>
    </dataValidation>
    <dataValidation allowBlank="true" error="Enter a value between 0.5 and 500." errorStyle="stop" errorTitle="Out of range" operator="between" showDropDown="false" showErrorMessage="true" showInputMessage="false" sqref="C19" type="decimal">
      <formula1>0.5</formula1>
      <formula2>500</formula2>
    </dataValidation>
    <dataValidation allowBlank="true" error="Enter a value between 1 and 200." errorStyle="stop" errorTitle="Out of range" operator="between" showDropDown="false" showErrorMessage="true" showInputMessage="false" sqref="C20" type="decimal">
      <formula1>1</formula1>
      <formula2>200</formula2>
    </dataValidation>
    <dataValidation allowBlank="true" error="Enter a value between 0 and 26." errorStyle="stop" errorTitle="Out of range" operator="between" showDropDown="false" showErrorMessage="true" showInputMessage="false" sqref="C21:C22 C26 C44" type="decimal">
      <formula1>0</formula1>
      <formula2>26</formula2>
    </dataValidation>
    <dataValidation allowBlank="true" error="Enter a value between 0.5 and 50." errorStyle="stop" errorTitle="Out of range" operator="between" showDropDown="false" showErrorMessage="true" showInputMessage="false" sqref="C23:C24" type="decimal">
      <formula1>0.5</formula1>
      <formula2>50</formula2>
    </dataValidation>
    <dataValidation allowBlank="true" error="Enter a value between 0 and 5." errorStyle="stop" errorTitle="Out of range" operator="between" showDropDown="false" showErrorMessage="true" showInputMessage="false" sqref="C28" type="decimal">
      <formula1>0</formula1>
      <formula2>5</formula2>
    </dataValidation>
    <dataValidation allowBlank="true" error="Enter a value between 1 and 60." errorStyle="stop" errorTitle="Out of range" operator="between" showDropDown="false" showErrorMessage="true" showInputMessage="false" sqref="C15" type="decimal">
      <formula1>1</formula1>
      <formula2>60</formula2>
    </dataValidation>
    <dataValidation allowBlank="true" error="Enter a value between 0 and 0.3." errorStyle="stop" errorTitle="Out of range" operator="between" showDropDown="false" showErrorMessage="true" showInputMessage="false" sqref="C16" type="decimal">
      <formula1>0</formula1>
      <formula2>0.3</formula2>
    </dataValidation>
    <dataValidation allowBlank="true" errorStyle="stop" operator="between" showDropDown="false" showErrorMessage="true" showInputMessage="false" sqref="C43" type="list">
      <formula1>YesNo</formula1>
      <formula2>0</formula2>
    </dataValidation>
    <dataValidation allowBlank="true" error="Enter a value between 0 and 2." errorStyle="stop" errorTitle="Out of range" operator="between" showDropDown="false" showErrorMessage="true" showInputMessage="false" sqref="C31 C36 C41" type="decimal">
      <formula1>0</formula1>
      <formula2>2</formula2>
    </dataValidation>
    <dataValidation allowBlank="true" error="Enter a value between 0 and 20." errorStyle="stop" errorTitle="Out of range" operator="between" showDropDown="false" showErrorMessage="true" showInputMessage="false" sqref="C32 C37:C38 C42 C45" type="decimal">
      <formula1>0</formula1>
      <formula2>20</formula2>
    </dataValidation>
    <dataValidation allowBlank="true" error="Enter a value between 0 and 200." errorStyle="stop" errorTitle="Out of range" operator="between" showDropDown="false" showErrorMessage="true" showInputMessage="false" sqref="C34" type="decimal">
      <formula1>0</formula1>
      <formula2>200</formula2>
    </dataValidation>
    <dataValidation allowBlank="true" error="Enter a value between 0 and 8." errorStyle="stop" errorTitle="Out of range" operator="between" showDropDown="false" showErrorMessage="true" showInputMessage="false" sqref="C35 C40" type="decimal">
      <formula1>0</formula1>
      <formula2>8</formula2>
    </dataValidation>
    <dataValidation allowBlank="true" error="Enter a value between 1 and 100000." errorStyle="stop" errorTitle="Out of range" operator="between" showDropDown="false" showErrorMessage="true" showInputMessage="false" sqref="C39" type="decimal">
      <formula1>1</formula1>
      <formula2>100000</formula2>
    </dataValidation>
    <dataValidation allowBlank="true" errorStyle="stop" operator="between" showDropDown="false" showErrorMessage="true" showInputMessage="false" sqref="C57" type="list">
      <formula1>CostModes</formula1>
      <formula2>0</formula2>
    </dataValidation>
    <dataValidation allowBlank="true" error="Enter a value between 0 and 0.5." errorStyle="stop" errorTitle="Out of range" operator="between" showDropDown="false" showErrorMessage="true" showInputMessage="false" sqref="C59" type="decimal">
      <formula1>0</formula1>
      <formula2>0.5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8"/>
    <col collapsed="false" customWidth="true" hidden="false" outlineLevel="0" max="6" min="4" style="0" width="16"/>
    <col collapsed="false" customWidth="true" hidden="false" outlineLevel="0" max="7" min="7" style="0" width="9"/>
    <col collapsed="false" customWidth="true" hidden="false" outlineLevel="0" max="9" min="8" style="0" width="11"/>
    <col collapsed="false" customWidth="true" hidden="false" outlineLevel="0" max="11" min="10" style="0" width="10"/>
    <col collapsed="false" customWidth="true" hidden="false" outlineLevel="0" max="16" min="12" style="0" width="9"/>
    <col collapsed="false" customWidth="true" hidden="false" outlineLevel="0" max="17" min="17" style="0" width="11"/>
    <col collapsed="false" customWidth="true" hidden="false" outlineLevel="0" max="18" min="18" style="0" width="9"/>
    <col collapsed="false" customWidth="true" hidden="false" outlineLevel="0" max="19" min="19" style="0" width="12"/>
    <col collapsed="false" customWidth="true" hidden="false" outlineLevel="0" max="23" min="20" style="0" width="9"/>
    <col collapsed="false" customWidth="true" hidden="false" outlineLevel="0" max="24" min="24" style="0" width="10"/>
    <col collapsed="false" customWidth="true" hidden="false" outlineLevel="0" max="25" min="25" style="0" width="16"/>
    <col collapsed="false" customWidth="true" hidden="false" outlineLevel="0" max="26" min="26" style="0" width="12"/>
    <col collapsed="false" customWidth="true" hidden="false" outlineLevel="0" max="27" min="27" style="0" width="9"/>
    <col collapsed="false" customWidth="true" hidden="false" outlineLevel="0" max="28" min="28" style="0" width="11"/>
    <col collapsed="false" customWidth="true" hidden="false" outlineLevel="0" max="29" min="29" style="0" width="10"/>
    <col collapsed="false" customWidth="true" hidden="false" outlineLevel="0" max="30" min="30" style="0" width="28"/>
    <col collapsed="false" customWidth="true" hidden="false" outlineLevel="0" max="33" min="31" style="0" width="11"/>
    <col collapsed="false" customWidth="true" hidden="false" outlineLevel="0" max="34" min="34" style="0" width="17"/>
    <col collapsed="false" customWidth="true" hidden="false" outlineLevel="0" max="35" min="35" style="0" width="30"/>
  </cols>
  <sheetData>
    <row r="1" customFormat="false" ht="19.7" hidden="false" customHeight="false" outlineLevel="0" collapsed="false">
      <c r="A1" s="1" t="s">
        <v>29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customFormat="false" ht="15" hidden="false" customHeight="false" outlineLevel="0" collapsed="false">
      <c r="A2" s="3" t="s">
        <v>180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customFormat="false" ht="15" hidden="false" customHeight="false" outlineLevel="0" collapsed="false">
      <c r="A3" s="3" t="s">
        <v>181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customFormat="false" ht="15" hidden="false" customHeight="false" outlineLevel="0" collapsed="false">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customFormat="false" ht="15" hidden="false" customHeight="true" outlineLevel="0" collapsed="false">
      <c r="A5" s="39" t="s">
        <v>105</v>
      </c>
      <c r="B5" s="39"/>
      <c r="C5" s="39"/>
      <c r="D5" s="39"/>
      <c r="E5" s="39"/>
      <c r="F5" s="39"/>
      <c r="G5" s="39"/>
      <c r="H5" s="39" t="s">
        <v>182</v>
      </c>
      <c r="I5" s="39"/>
      <c r="J5" s="39"/>
      <c r="K5" s="39"/>
      <c r="L5" s="39" t="s">
        <v>183</v>
      </c>
      <c r="M5" s="39"/>
      <c r="N5" s="39"/>
      <c r="O5" s="39"/>
      <c r="P5" s="39" t="s">
        <v>184</v>
      </c>
      <c r="Q5" s="39"/>
      <c r="R5" s="39"/>
      <c r="S5" s="39" t="s">
        <v>185</v>
      </c>
      <c r="T5" s="39"/>
      <c r="U5" s="39"/>
      <c r="V5" s="39"/>
      <c r="W5" s="39"/>
      <c r="X5" s="39"/>
      <c r="Y5" s="39" t="s">
        <v>186</v>
      </c>
      <c r="Z5" s="39"/>
      <c r="AA5" s="39"/>
      <c r="AB5" s="39"/>
      <c r="AC5" s="39" t="s">
        <v>187</v>
      </c>
      <c r="AD5" s="39"/>
      <c r="AE5" s="39"/>
      <c r="AF5" s="39"/>
      <c r="AG5" s="39"/>
      <c r="AH5" s="39"/>
      <c r="AI5" s="39"/>
    </row>
    <row r="6" customFormat="false" ht="60" hidden="false" customHeight="true" outlineLevel="0" collapsed="false">
      <c r="A6" s="21" t="s">
        <v>188</v>
      </c>
      <c r="B6" s="21" t="s">
        <v>189</v>
      </c>
      <c r="C6" s="21" t="s">
        <v>190</v>
      </c>
      <c r="D6" s="21" t="s">
        <v>191</v>
      </c>
      <c r="E6" s="21" t="s">
        <v>192</v>
      </c>
      <c r="F6" s="21" t="s">
        <v>193</v>
      </c>
      <c r="G6" s="21" t="s">
        <v>194</v>
      </c>
      <c r="H6" s="21" t="s">
        <v>195</v>
      </c>
      <c r="I6" s="21" t="s">
        <v>196</v>
      </c>
      <c r="J6" s="21" t="s">
        <v>197</v>
      </c>
      <c r="K6" s="21" t="s">
        <v>198</v>
      </c>
      <c r="L6" s="21" t="s">
        <v>199</v>
      </c>
      <c r="M6" s="21" t="s">
        <v>200</v>
      </c>
      <c r="N6" s="21" t="s">
        <v>201</v>
      </c>
      <c r="O6" s="21" t="s">
        <v>202</v>
      </c>
      <c r="P6" s="21" t="s">
        <v>203</v>
      </c>
      <c r="Q6" s="21" t="s">
        <v>204</v>
      </c>
      <c r="R6" s="21" t="s">
        <v>205</v>
      </c>
      <c r="S6" s="21" t="s">
        <v>206</v>
      </c>
      <c r="T6" s="21" t="s">
        <v>207</v>
      </c>
      <c r="U6" s="21" t="s">
        <v>208</v>
      </c>
      <c r="V6" s="21" t="s">
        <v>209</v>
      </c>
      <c r="W6" s="21" t="s">
        <v>210</v>
      </c>
      <c r="X6" s="21" t="s">
        <v>211</v>
      </c>
      <c r="Y6" s="21" t="s">
        <v>212</v>
      </c>
      <c r="Z6" s="21" t="s">
        <v>213</v>
      </c>
      <c r="AA6" s="21" t="s">
        <v>214</v>
      </c>
      <c r="AB6" s="21" t="s">
        <v>92</v>
      </c>
      <c r="AC6" s="21" t="s">
        <v>215</v>
      </c>
      <c r="AD6" s="21" t="s">
        <v>216</v>
      </c>
      <c r="AE6" s="21" t="s">
        <v>217</v>
      </c>
      <c r="AF6" s="21" t="s">
        <v>218</v>
      </c>
      <c r="AG6" s="21" t="s">
        <v>219</v>
      </c>
      <c r="AH6" s="21" t="s">
        <v>220</v>
      </c>
      <c r="AI6" s="21" t="s">
        <v>221</v>
      </c>
    </row>
    <row r="7" customFormat="false" ht="15" hidden="false" customHeight="false" outlineLevel="0" collapsed="false">
      <c r="A7" s="9" t="n">
        <v>1</v>
      </c>
      <c r="B7" s="33" t="s">
        <v>222</v>
      </c>
      <c r="C7" s="33" t="s">
        <v>223</v>
      </c>
      <c r="D7" s="33" t="s">
        <v>224</v>
      </c>
      <c r="E7" s="33" t="s">
        <v>225</v>
      </c>
      <c r="F7" s="33" t="s">
        <v>226</v>
      </c>
      <c r="G7" s="40" t="n">
        <v>1</v>
      </c>
      <c r="H7" s="41" t="n">
        <v>400</v>
      </c>
      <c r="I7" s="42" t="n">
        <v>3</v>
      </c>
      <c r="J7" s="35" t="n">
        <v>0.1</v>
      </c>
      <c r="K7" s="35" t="n">
        <v>0.15</v>
      </c>
      <c r="L7" s="35" t="n">
        <v>0.4</v>
      </c>
      <c r="M7" s="35" t="n">
        <v>0.35</v>
      </c>
      <c r="N7" s="35" t="n">
        <v>0.2</v>
      </c>
      <c r="O7" s="35" t="n">
        <v>0.05</v>
      </c>
      <c r="P7" s="35" t="n">
        <v>0.2</v>
      </c>
      <c r="Q7" s="35" t="n">
        <v>0.1</v>
      </c>
      <c r="R7" s="35" t="n">
        <v>0.1</v>
      </c>
      <c r="S7" s="41" t="n">
        <v>12</v>
      </c>
      <c r="T7" s="35" t="n">
        <v>0.3</v>
      </c>
      <c r="U7" s="35" t="n">
        <v>0.4</v>
      </c>
      <c r="V7" s="35" t="n">
        <v>0.2</v>
      </c>
      <c r="W7" s="35" t="n">
        <v>0.1</v>
      </c>
      <c r="X7" s="41" t="n">
        <v>8</v>
      </c>
      <c r="Y7" s="33" t="s">
        <v>227</v>
      </c>
      <c r="Z7" s="41" t="n">
        <v>150</v>
      </c>
      <c r="AA7" s="41" t="n">
        <v>20</v>
      </c>
      <c r="AB7" s="33" t="s">
        <v>228</v>
      </c>
      <c r="AC7" s="43"/>
      <c r="AD7" s="33"/>
      <c r="AE7" s="35"/>
      <c r="AF7" s="35"/>
      <c r="AG7" s="35"/>
      <c r="AH7" s="33" t="s">
        <v>229</v>
      </c>
      <c r="AI7" s="33" t="s">
        <v>230</v>
      </c>
    </row>
    <row r="8" customFormat="false" ht="15" hidden="false" customHeight="false" outlineLevel="0" collapsed="false">
      <c r="A8" s="9" t="n">
        <v>2</v>
      </c>
      <c r="B8" s="33" t="s">
        <v>231</v>
      </c>
      <c r="C8" s="33" t="s">
        <v>232</v>
      </c>
      <c r="D8" s="33" t="s">
        <v>224</v>
      </c>
      <c r="E8" s="33" t="s">
        <v>233</v>
      </c>
      <c r="F8" s="33" t="s">
        <v>226</v>
      </c>
      <c r="G8" s="40" t="n">
        <v>2</v>
      </c>
      <c r="H8" s="41" t="n">
        <v>250</v>
      </c>
      <c r="I8" s="42" t="n">
        <v>2</v>
      </c>
      <c r="J8" s="35" t="n">
        <v>0</v>
      </c>
      <c r="K8" s="35" t="n">
        <v>0.1</v>
      </c>
      <c r="L8" s="35" t="n">
        <v>0.5</v>
      </c>
      <c r="M8" s="35" t="n">
        <v>0.3</v>
      </c>
      <c r="N8" s="35" t="n">
        <v>0.15</v>
      </c>
      <c r="O8" s="35" t="n">
        <v>0.05</v>
      </c>
      <c r="P8" s="35" t="n">
        <v>0.25</v>
      </c>
      <c r="Q8" s="35" t="n">
        <v>0.05</v>
      </c>
      <c r="R8" s="35" t="n">
        <v>0.1</v>
      </c>
      <c r="S8" s="41" t="n">
        <v>40</v>
      </c>
      <c r="T8" s="35" t="n">
        <v>0.5</v>
      </c>
      <c r="U8" s="35" t="n">
        <v>0.3</v>
      </c>
      <c r="V8" s="35" t="n">
        <v>0.15</v>
      </c>
      <c r="W8" s="35" t="n">
        <v>0.05</v>
      </c>
      <c r="X8" s="41" t="n">
        <v>10</v>
      </c>
      <c r="Y8" s="33" t="s">
        <v>234</v>
      </c>
      <c r="Z8" s="41" t="n">
        <v>60</v>
      </c>
      <c r="AA8" s="41" t="n">
        <v>10</v>
      </c>
      <c r="AB8" s="33" t="s">
        <v>235</v>
      </c>
      <c r="AC8" s="43"/>
      <c r="AD8" s="33"/>
      <c r="AE8" s="35"/>
      <c r="AF8" s="35"/>
      <c r="AG8" s="35"/>
      <c r="AH8" s="33" t="s">
        <v>236</v>
      </c>
      <c r="AI8" s="33" t="s">
        <v>230</v>
      </c>
    </row>
    <row r="9" customFormat="false" ht="15" hidden="false" customHeight="false" outlineLevel="0" collapsed="false">
      <c r="A9" s="9" t="n">
        <v>3</v>
      </c>
      <c r="B9" s="33"/>
      <c r="C9" s="33"/>
      <c r="D9" s="33"/>
      <c r="E9" s="33"/>
      <c r="F9" s="33"/>
      <c r="G9" s="40"/>
      <c r="H9" s="41"/>
      <c r="I9" s="42"/>
      <c r="J9" s="35"/>
      <c r="K9" s="35"/>
      <c r="L9" s="35"/>
      <c r="M9" s="35"/>
      <c r="N9" s="35"/>
      <c r="O9" s="35"/>
      <c r="P9" s="35"/>
      <c r="Q9" s="35"/>
      <c r="R9" s="35"/>
      <c r="S9" s="41"/>
      <c r="T9" s="35"/>
      <c r="U9" s="35"/>
      <c r="V9" s="35"/>
      <c r="W9" s="35"/>
      <c r="X9" s="41"/>
      <c r="Y9" s="33"/>
      <c r="Z9" s="41"/>
      <c r="AA9" s="41"/>
      <c r="AB9" s="33"/>
      <c r="AC9" s="43"/>
      <c r="AD9" s="33"/>
      <c r="AE9" s="35"/>
      <c r="AF9" s="35"/>
      <c r="AG9" s="35"/>
      <c r="AH9" s="33"/>
      <c r="AI9" s="33"/>
    </row>
    <row r="10" customFormat="false" ht="15" hidden="false" customHeight="false" outlineLevel="0" collapsed="false">
      <c r="A10" s="9" t="n">
        <v>4</v>
      </c>
      <c r="B10" s="33"/>
      <c r="C10" s="33"/>
      <c r="D10" s="33"/>
      <c r="E10" s="33"/>
      <c r="F10" s="33"/>
      <c r="G10" s="40"/>
      <c r="H10" s="41"/>
      <c r="I10" s="42"/>
      <c r="J10" s="35"/>
      <c r="K10" s="35"/>
      <c r="L10" s="35"/>
      <c r="M10" s="35"/>
      <c r="N10" s="35"/>
      <c r="O10" s="35"/>
      <c r="P10" s="35"/>
      <c r="Q10" s="35"/>
      <c r="R10" s="35"/>
      <c r="S10" s="41"/>
      <c r="T10" s="35"/>
      <c r="U10" s="35"/>
      <c r="V10" s="35"/>
      <c r="W10" s="35"/>
      <c r="X10" s="41"/>
      <c r="Y10" s="33"/>
      <c r="Z10" s="41"/>
      <c r="AA10" s="41"/>
      <c r="AB10" s="33"/>
      <c r="AC10" s="43"/>
      <c r="AD10" s="33"/>
      <c r="AE10" s="35"/>
      <c r="AF10" s="35"/>
      <c r="AG10" s="35"/>
      <c r="AH10" s="33"/>
      <c r="AI10" s="33"/>
    </row>
    <row r="11" customFormat="false" ht="15" hidden="false" customHeight="false" outlineLevel="0" collapsed="false">
      <c r="A11" s="9" t="n">
        <v>5</v>
      </c>
      <c r="B11" s="33"/>
      <c r="C11" s="33"/>
      <c r="D11" s="33"/>
      <c r="E11" s="33"/>
      <c r="F11" s="33"/>
      <c r="G11" s="40"/>
      <c r="H11" s="41"/>
      <c r="I11" s="42"/>
      <c r="J11" s="35"/>
      <c r="K11" s="35"/>
      <c r="L11" s="35"/>
      <c r="M11" s="35"/>
      <c r="N11" s="35"/>
      <c r="O11" s="35"/>
      <c r="P11" s="35"/>
      <c r="Q11" s="35"/>
      <c r="R11" s="35"/>
      <c r="S11" s="41"/>
      <c r="T11" s="35"/>
      <c r="U11" s="35"/>
      <c r="V11" s="35"/>
      <c r="W11" s="35"/>
      <c r="X11" s="41"/>
      <c r="Y11" s="33"/>
      <c r="Z11" s="41"/>
      <c r="AA11" s="41"/>
      <c r="AB11" s="33"/>
      <c r="AC11" s="43"/>
      <c r="AD11" s="33"/>
      <c r="AE11" s="35"/>
      <c r="AF11" s="35"/>
      <c r="AG11" s="35"/>
      <c r="AH11" s="33"/>
      <c r="AI11" s="33"/>
    </row>
    <row r="12" customFormat="false" ht="15" hidden="false" customHeight="false" outlineLevel="0" collapsed="false">
      <c r="A12" s="9" t="n">
        <v>6</v>
      </c>
      <c r="B12" s="33"/>
      <c r="C12" s="33"/>
      <c r="D12" s="33"/>
      <c r="E12" s="33"/>
      <c r="F12" s="33"/>
      <c r="G12" s="40"/>
      <c r="H12" s="41"/>
      <c r="I12" s="42"/>
      <c r="J12" s="35"/>
      <c r="K12" s="35"/>
      <c r="L12" s="35"/>
      <c r="M12" s="35"/>
      <c r="N12" s="35"/>
      <c r="O12" s="35"/>
      <c r="P12" s="35"/>
      <c r="Q12" s="35"/>
      <c r="R12" s="35"/>
      <c r="S12" s="41"/>
      <c r="T12" s="35"/>
      <c r="U12" s="35"/>
      <c r="V12" s="35"/>
      <c r="W12" s="35"/>
      <c r="X12" s="41"/>
      <c r="Y12" s="33"/>
      <c r="Z12" s="41"/>
      <c r="AA12" s="41"/>
      <c r="AB12" s="33"/>
      <c r="AC12" s="43"/>
      <c r="AD12" s="33"/>
      <c r="AE12" s="35"/>
      <c r="AF12" s="35"/>
      <c r="AG12" s="35"/>
      <c r="AH12" s="33"/>
      <c r="AI12" s="33"/>
    </row>
    <row r="13" customFormat="false" ht="15" hidden="false" customHeight="false" outlineLevel="0" collapsed="false">
      <c r="A13" s="9" t="n">
        <v>7</v>
      </c>
      <c r="B13" s="33"/>
      <c r="C13" s="33"/>
      <c r="D13" s="33"/>
      <c r="E13" s="33"/>
      <c r="F13" s="33"/>
      <c r="G13" s="40"/>
      <c r="H13" s="41"/>
      <c r="I13" s="42"/>
      <c r="J13" s="35"/>
      <c r="K13" s="35"/>
      <c r="L13" s="35"/>
      <c r="M13" s="35"/>
      <c r="N13" s="35"/>
      <c r="O13" s="35"/>
      <c r="P13" s="35"/>
      <c r="Q13" s="35"/>
      <c r="R13" s="35"/>
      <c r="S13" s="41"/>
      <c r="T13" s="35"/>
      <c r="U13" s="35"/>
      <c r="V13" s="35"/>
      <c r="W13" s="35"/>
      <c r="X13" s="41"/>
      <c r="Y13" s="33"/>
      <c r="Z13" s="41"/>
      <c r="AA13" s="41"/>
      <c r="AB13" s="33"/>
      <c r="AC13" s="43"/>
      <c r="AD13" s="33"/>
      <c r="AE13" s="35"/>
      <c r="AF13" s="35"/>
      <c r="AG13" s="35"/>
      <c r="AH13" s="33"/>
      <c r="AI13" s="33"/>
    </row>
    <row r="14" customFormat="false" ht="15" hidden="false" customHeight="false" outlineLevel="0" collapsed="false">
      <c r="A14" s="9" t="n">
        <v>8</v>
      </c>
      <c r="B14" s="33"/>
      <c r="C14" s="33"/>
      <c r="D14" s="33"/>
      <c r="E14" s="33"/>
      <c r="F14" s="33"/>
      <c r="G14" s="40"/>
      <c r="H14" s="41"/>
      <c r="I14" s="42"/>
      <c r="J14" s="35"/>
      <c r="K14" s="35"/>
      <c r="L14" s="35"/>
      <c r="M14" s="35"/>
      <c r="N14" s="35"/>
      <c r="O14" s="35"/>
      <c r="P14" s="35"/>
      <c r="Q14" s="35"/>
      <c r="R14" s="35"/>
      <c r="S14" s="41"/>
      <c r="T14" s="35"/>
      <c r="U14" s="35"/>
      <c r="V14" s="35"/>
      <c r="W14" s="35"/>
      <c r="X14" s="41"/>
      <c r="Y14" s="33"/>
      <c r="Z14" s="41"/>
      <c r="AA14" s="41"/>
      <c r="AB14" s="33"/>
      <c r="AC14" s="43"/>
      <c r="AD14" s="33"/>
      <c r="AE14" s="35"/>
      <c r="AF14" s="35"/>
      <c r="AG14" s="35"/>
      <c r="AH14" s="33"/>
      <c r="AI14" s="33"/>
    </row>
    <row r="15" customFormat="false" ht="15" hidden="false" customHeight="false" outlineLevel="0" collapsed="false">
      <c r="A15" s="9" t="n">
        <v>9</v>
      </c>
      <c r="B15" s="33"/>
      <c r="C15" s="33"/>
      <c r="D15" s="33"/>
      <c r="E15" s="33"/>
      <c r="F15" s="33"/>
      <c r="G15" s="40"/>
      <c r="H15" s="41"/>
      <c r="I15" s="42"/>
      <c r="J15" s="35"/>
      <c r="K15" s="35"/>
      <c r="L15" s="35"/>
      <c r="M15" s="35"/>
      <c r="N15" s="35"/>
      <c r="O15" s="35"/>
      <c r="P15" s="35"/>
      <c r="Q15" s="35"/>
      <c r="R15" s="35"/>
      <c r="S15" s="41"/>
      <c r="T15" s="35"/>
      <c r="U15" s="35"/>
      <c r="V15" s="35"/>
      <c r="W15" s="35"/>
      <c r="X15" s="41"/>
      <c r="Y15" s="33"/>
      <c r="Z15" s="41"/>
      <c r="AA15" s="41"/>
      <c r="AB15" s="33"/>
      <c r="AC15" s="43"/>
      <c r="AD15" s="33"/>
      <c r="AE15" s="35"/>
      <c r="AF15" s="35"/>
      <c r="AG15" s="35"/>
      <c r="AH15" s="33"/>
      <c r="AI15" s="33"/>
    </row>
    <row r="16" customFormat="false" ht="15" hidden="false" customHeight="false" outlineLevel="0" collapsed="false">
      <c r="A16" s="9" t="n">
        <v>10</v>
      </c>
      <c r="B16" s="33"/>
      <c r="C16" s="33"/>
      <c r="D16" s="33"/>
      <c r="E16" s="33"/>
      <c r="F16" s="33"/>
      <c r="G16" s="40"/>
      <c r="H16" s="41"/>
      <c r="I16" s="42"/>
      <c r="J16" s="35"/>
      <c r="K16" s="35"/>
      <c r="L16" s="35"/>
      <c r="M16" s="35"/>
      <c r="N16" s="35"/>
      <c r="O16" s="35"/>
      <c r="P16" s="35"/>
      <c r="Q16" s="35"/>
      <c r="R16" s="35"/>
      <c r="S16" s="41"/>
      <c r="T16" s="35"/>
      <c r="U16" s="35"/>
      <c r="V16" s="35"/>
      <c r="W16" s="35"/>
      <c r="X16" s="41"/>
      <c r="Y16" s="33"/>
      <c r="Z16" s="41"/>
      <c r="AA16" s="41"/>
      <c r="AB16" s="33"/>
      <c r="AC16" s="43"/>
      <c r="AD16" s="33"/>
      <c r="AE16" s="35"/>
      <c r="AF16" s="35"/>
      <c r="AG16" s="35"/>
      <c r="AH16" s="33"/>
      <c r="AI16" s="33"/>
    </row>
    <row r="17" customFormat="false" ht="15" hidden="false" customHeight="false" outlineLevel="0" collapsed="false">
      <c r="A17" s="9" t="n">
        <v>11</v>
      </c>
      <c r="B17" s="33"/>
      <c r="C17" s="33"/>
      <c r="D17" s="33"/>
      <c r="E17" s="33"/>
      <c r="F17" s="33"/>
      <c r="G17" s="40"/>
      <c r="H17" s="41"/>
      <c r="I17" s="42"/>
      <c r="J17" s="35"/>
      <c r="K17" s="35"/>
      <c r="L17" s="35"/>
      <c r="M17" s="35"/>
      <c r="N17" s="35"/>
      <c r="O17" s="35"/>
      <c r="P17" s="35"/>
      <c r="Q17" s="35"/>
      <c r="R17" s="35"/>
      <c r="S17" s="41"/>
      <c r="T17" s="35"/>
      <c r="U17" s="35"/>
      <c r="V17" s="35"/>
      <c r="W17" s="35"/>
      <c r="X17" s="41"/>
      <c r="Y17" s="33"/>
      <c r="Z17" s="41"/>
      <c r="AA17" s="41"/>
      <c r="AB17" s="33"/>
      <c r="AC17" s="43"/>
      <c r="AD17" s="33"/>
      <c r="AE17" s="35"/>
      <c r="AF17" s="35"/>
      <c r="AG17" s="35"/>
      <c r="AH17" s="33"/>
      <c r="AI17" s="33"/>
    </row>
    <row r="18" customFormat="false" ht="15" hidden="false" customHeight="false" outlineLevel="0" collapsed="false">
      <c r="A18" s="9" t="n">
        <v>12</v>
      </c>
      <c r="B18" s="33"/>
      <c r="C18" s="33"/>
      <c r="D18" s="33"/>
      <c r="E18" s="33"/>
      <c r="F18" s="33"/>
      <c r="G18" s="40"/>
      <c r="H18" s="41"/>
      <c r="I18" s="42"/>
      <c r="J18" s="35"/>
      <c r="K18" s="35"/>
      <c r="L18" s="35"/>
      <c r="M18" s="35"/>
      <c r="N18" s="35"/>
      <c r="O18" s="35"/>
      <c r="P18" s="35"/>
      <c r="Q18" s="35"/>
      <c r="R18" s="35"/>
      <c r="S18" s="41"/>
      <c r="T18" s="35"/>
      <c r="U18" s="35"/>
      <c r="V18" s="35"/>
      <c r="W18" s="35"/>
      <c r="X18" s="41"/>
      <c r="Y18" s="33"/>
      <c r="Z18" s="41"/>
      <c r="AA18" s="41"/>
      <c r="AB18" s="33"/>
      <c r="AC18" s="43"/>
      <c r="AD18" s="33"/>
      <c r="AE18" s="35"/>
      <c r="AF18" s="35"/>
      <c r="AG18" s="35"/>
      <c r="AH18" s="33"/>
      <c r="AI18" s="33"/>
    </row>
    <row r="19" customFormat="false" ht="15" hidden="false" customHeight="false" outlineLevel="0" collapsed="false">
      <c r="A19" s="9" t="n">
        <v>13</v>
      </c>
      <c r="B19" s="33"/>
      <c r="C19" s="33"/>
      <c r="D19" s="33"/>
      <c r="E19" s="33"/>
      <c r="F19" s="33"/>
      <c r="G19" s="40"/>
      <c r="H19" s="41"/>
      <c r="I19" s="42"/>
      <c r="J19" s="35"/>
      <c r="K19" s="35"/>
      <c r="L19" s="35"/>
      <c r="M19" s="35"/>
      <c r="N19" s="35"/>
      <c r="O19" s="35"/>
      <c r="P19" s="35"/>
      <c r="Q19" s="35"/>
      <c r="R19" s="35"/>
      <c r="S19" s="41"/>
      <c r="T19" s="35"/>
      <c r="U19" s="35"/>
      <c r="V19" s="35"/>
      <c r="W19" s="35"/>
      <c r="X19" s="41"/>
      <c r="Y19" s="33"/>
      <c r="Z19" s="41"/>
      <c r="AA19" s="41"/>
      <c r="AB19" s="33"/>
      <c r="AC19" s="43"/>
      <c r="AD19" s="33"/>
      <c r="AE19" s="35"/>
      <c r="AF19" s="35"/>
      <c r="AG19" s="35"/>
      <c r="AH19" s="33"/>
      <c r="AI19" s="33"/>
    </row>
    <row r="20" customFormat="false" ht="15" hidden="false" customHeight="false" outlineLevel="0" collapsed="false">
      <c r="A20" s="9" t="n">
        <v>14</v>
      </c>
      <c r="B20" s="33"/>
      <c r="C20" s="33"/>
      <c r="D20" s="33"/>
      <c r="E20" s="33"/>
      <c r="F20" s="33"/>
      <c r="G20" s="40"/>
      <c r="H20" s="41"/>
      <c r="I20" s="42"/>
      <c r="J20" s="35"/>
      <c r="K20" s="35"/>
      <c r="L20" s="35"/>
      <c r="M20" s="35"/>
      <c r="N20" s="35"/>
      <c r="O20" s="35"/>
      <c r="P20" s="35"/>
      <c r="Q20" s="35"/>
      <c r="R20" s="35"/>
      <c r="S20" s="41"/>
      <c r="T20" s="35"/>
      <c r="U20" s="35"/>
      <c r="V20" s="35"/>
      <c r="W20" s="35"/>
      <c r="X20" s="41"/>
      <c r="Y20" s="33"/>
      <c r="Z20" s="41"/>
      <c r="AA20" s="41"/>
      <c r="AB20" s="33"/>
      <c r="AC20" s="43"/>
      <c r="AD20" s="33"/>
      <c r="AE20" s="35"/>
      <c r="AF20" s="35"/>
      <c r="AG20" s="35"/>
      <c r="AH20" s="33"/>
      <c r="AI20" s="33"/>
    </row>
    <row r="21" customFormat="false" ht="15" hidden="false" customHeight="false" outlineLevel="0" collapsed="false">
      <c r="A21" s="9" t="n">
        <v>15</v>
      </c>
      <c r="B21" s="33"/>
      <c r="C21" s="33"/>
      <c r="D21" s="33"/>
      <c r="E21" s="33"/>
      <c r="F21" s="33"/>
      <c r="G21" s="40"/>
      <c r="H21" s="41"/>
      <c r="I21" s="42"/>
      <c r="J21" s="35"/>
      <c r="K21" s="35"/>
      <c r="L21" s="35"/>
      <c r="M21" s="35"/>
      <c r="N21" s="35"/>
      <c r="O21" s="35"/>
      <c r="P21" s="35"/>
      <c r="Q21" s="35"/>
      <c r="R21" s="35"/>
      <c r="S21" s="41"/>
      <c r="T21" s="35"/>
      <c r="U21" s="35"/>
      <c r="V21" s="35"/>
      <c r="W21" s="35"/>
      <c r="X21" s="41"/>
      <c r="Y21" s="33"/>
      <c r="Z21" s="41"/>
      <c r="AA21" s="41"/>
      <c r="AB21" s="33"/>
      <c r="AC21" s="43"/>
      <c r="AD21" s="33"/>
      <c r="AE21" s="35"/>
      <c r="AF21" s="35"/>
      <c r="AG21" s="35"/>
      <c r="AH21" s="33"/>
      <c r="AI21" s="33"/>
    </row>
    <row r="22" customFormat="false" ht="15" hidden="false" customHeight="false" outlineLevel="0" collapsed="false">
      <c r="A22" s="9" t="n">
        <v>16</v>
      </c>
      <c r="B22" s="33"/>
      <c r="C22" s="33"/>
      <c r="D22" s="33"/>
      <c r="E22" s="33"/>
      <c r="F22" s="33"/>
      <c r="G22" s="40"/>
      <c r="H22" s="41"/>
      <c r="I22" s="42"/>
      <c r="J22" s="35"/>
      <c r="K22" s="35"/>
      <c r="L22" s="35"/>
      <c r="M22" s="35"/>
      <c r="N22" s="35"/>
      <c r="O22" s="35"/>
      <c r="P22" s="35"/>
      <c r="Q22" s="35"/>
      <c r="R22" s="35"/>
      <c r="S22" s="41"/>
      <c r="T22" s="35"/>
      <c r="U22" s="35"/>
      <c r="V22" s="35"/>
      <c r="W22" s="35"/>
      <c r="X22" s="41"/>
      <c r="Y22" s="33"/>
      <c r="Z22" s="41"/>
      <c r="AA22" s="41"/>
      <c r="AB22" s="33"/>
      <c r="AC22" s="43"/>
      <c r="AD22" s="33"/>
      <c r="AE22" s="35"/>
      <c r="AF22" s="35"/>
      <c r="AG22" s="35"/>
      <c r="AH22" s="33"/>
      <c r="AI22" s="33"/>
    </row>
    <row r="23" customFormat="false" ht="15" hidden="false" customHeight="false" outlineLevel="0" collapsed="false">
      <c r="A23" s="9" t="n">
        <v>17</v>
      </c>
      <c r="B23" s="33"/>
      <c r="C23" s="33"/>
      <c r="D23" s="33"/>
      <c r="E23" s="33"/>
      <c r="F23" s="33"/>
      <c r="G23" s="40"/>
      <c r="H23" s="41"/>
      <c r="I23" s="42"/>
      <c r="J23" s="35"/>
      <c r="K23" s="35"/>
      <c r="L23" s="35"/>
      <c r="M23" s="35"/>
      <c r="N23" s="35"/>
      <c r="O23" s="35"/>
      <c r="P23" s="35"/>
      <c r="Q23" s="35"/>
      <c r="R23" s="35"/>
      <c r="S23" s="41"/>
      <c r="T23" s="35"/>
      <c r="U23" s="35"/>
      <c r="V23" s="35"/>
      <c r="W23" s="35"/>
      <c r="X23" s="41"/>
      <c r="Y23" s="33"/>
      <c r="Z23" s="41"/>
      <c r="AA23" s="41"/>
      <c r="AB23" s="33"/>
      <c r="AC23" s="43"/>
      <c r="AD23" s="33"/>
      <c r="AE23" s="35"/>
      <c r="AF23" s="35"/>
      <c r="AG23" s="35"/>
      <c r="AH23" s="33"/>
      <c r="AI23" s="33"/>
    </row>
    <row r="24" customFormat="false" ht="15" hidden="false" customHeight="false" outlineLevel="0" collapsed="false">
      <c r="A24" s="9" t="n">
        <v>18</v>
      </c>
      <c r="B24" s="33"/>
      <c r="C24" s="33"/>
      <c r="D24" s="33"/>
      <c r="E24" s="33"/>
      <c r="F24" s="33"/>
      <c r="G24" s="40"/>
      <c r="H24" s="41"/>
      <c r="I24" s="42"/>
      <c r="J24" s="35"/>
      <c r="K24" s="35"/>
      <c r="L24" s="35"/>
      <c r="M24" s="35"/>
      <c r="N24" s="35"/>
      <c r="O24" s="35"/>
      <c r="P24" s="35"/>
      <c r="Q24" s="35"/>
      <c r="R24" s="35"/>
      <c r="S24" s="41"/>
      <c r="T24" s="35"/>
      <c r="U24" s="35"/>
      <c r="V24" s="35"/>
      <c r="W24" s="35"/>
      <c r="X24" s="41"/>
      <c r="Y24" s="33"/>
      <c r="Z24" s="41"/>
      <c r="AA24" s="41"/>
      <c r="AB24" s="33"/>
      <c r="AC24" s="43"/>
      <c r="AD24" s="33"/>
      <c r="AE24" s="35"/>
      <c r="AF24" s="35"/>
      <c r="AG24" s="35"/>
      <c r="AH24" s="33"/>
      <c r="AI24" s="33"/>
    </row>
    <row r="25" customFormat="false" ht="15" hidden="false" customHeight="false" outlineLevel="0" collapsed="false">
      <c r="A25" s="9" t="n">
        <v>19</v>
      </c>
      <c r="B25" s="33"/>
      <c r="C25" s="33"/>
      <c r="D25" s="33"/>
      <c r="E25" s="33"/>
      <c r="F25" s="33"/>
      <c r="G25" s="40"/>
      <c r="H25" s="41"/>
      <c r="I25" s="42"/>
      <c r="J25" s="35"/>
      <c r="K25" s="35"/>
      <c r="L25" s="35"/>
      <c r="M25" s="35"/>
      <c r="N25" s="35"/>
      <c r="O25" s="35"/>
      <c r="P25" s="35"/>
      <c r="Q25" s="35"/>
      <c r="R25" s="35"/>
      <c r="S25" s="41"/>
      <c r="T25" s="35"/>
      <c r="U25" s="35"/>
      <c r="V25" s="35"/>
      <c r="W25" s="35"/>
      <c r="X25" s="41"/>
      <c r="Y25" s="33"/>
      <c r="Z25" s="41"/>
      <c r="AA25" s="41"/>
      <c r="AB25" s="33"/>
      <c r="AC25" s="43"/>
      <c r="AD25" s="33"/>
      <c r="AE25" s="35"/>
      <c r="AF25" s="35"/>
      <c r="AG25" s="35"/>
      <c r="AH25" s="33"/>
      <c r="AI25" s="33"/>
    </row>
    <row r="26" customFormat="false" ht="15" hidden="false" customHeight="false" outlineLevel="0" collapsed="false">
      <c r="A26" s="9" t="n">
        <v>20</v>
      </c>
      <c r="B26" s="33"/>
      <c r="C26" s="33"/>
      <c r="D26" s="33"/>
      <c r="E26" s="33"/>
      <c r="F26" s="33"/>
      <c r="G26" s="40"/>
      <c r="H26" s="41"/>
      <c r="I26" s="42"/>
      <c r="J26" s="35"/>
      <c r="K26" s="35"/>
      <c r="L26" s="35"/>
      <c r="M26" s="35"/>
      <c r="N26" s="35"/>
      <c r="O26" s="35"/>
      <c r="P26" s="35"/>
      <c r="Q26" s="35"/>
      <c r="R26" s="35"/>
      <c r="S26" s="41"/>
      <c r="T26" s="35"/>
      <c r="U26" s="35"/>
      <c r="V26" s="35"/>
      <c r="W26" s="35"/>
      <c r="X26" s="41"/>
      <c r="Y26" s="33"/>
      <c r="Z26" s="41"/>
      <c r="AA26" s="41"/>
      <c r="AB26" s="33"/>
      <c r="AC26" s="43"/>
      <c r="AD26" s="33"/>
      <c r="AE26" s="35"/>
      <c r="AF26" s="35"/>
      <c r="AG26" s="35"/>
      <c r="AH26" s="33"/>
      <c r="AI26" s="33"/>
    </row>
  </sheetData>
  <sheetProtection sheet="true" formatColumns="false" formatRows="false"/>
  <mergeCells count="7">
    <mergeCell ref="A5:G5"/>
    <mergeCell ref="H5:K5"/>
    <mergeCell ref="L5:O5"/>
    <mergeCell ref="P5:R5"/>
    <mergeCell ref="S5:X5"/>
    <mergeCell ref="Y5:AB5"/>
    <mergeCell ref="AC5:AI5"/>
  </mergeCells>
  <dataValidations count="12">
    <dataValidation allowBlank="true" errorStyle="stop" operator="between" prompt="Pick or type a BI tool. A new tool must be added on Lists with its archetype." promptTitle="Input" showDropDown="false" showErrorMessage="false" showInputMessage="true" sqref="C7:C26" type="list">
      <formula1>ToolNames</formula1>
      <formula2>0</formula2>
    </dataValidation>
    <dataValidation allowBlank="true" errorStyle="stop" operator="between" showDropDown="false" showErrorMessage="false" showInputMessage="false" sqref="D7:D26" type="list">
      <formula1>ToolNames</formula1>
      <formula2>0</formula2>
    </dataValidation>
    <dataValidation allowBlank="true" errorStyle="stop" operator="between" showDropDown="false" showErrorMessage="false" showInputMessage="false" sqref="E7:E26" type="list">
      <formula1>DPList</formula1>
      <formula2>0</formula2>
    </dataValidation>
    <dataValidation allowBlank="true" errorStyle="stop" operator="between" showDropDown="false" showErrorMessage="false" showInputMessage="false" sqref="F7:F26" type="list">
      <formula1>DPList</formula1>
      <formula2>0</formula2>
    </dataValidation>
    <dataValidation allowBlank="true" errorStyle="stop" operator="between" showDropDown="false" showErrorMessage="true" showInputMessage="false" sqref="Y7:Y26" type="list">
      <formula1>SecNames</formula1>
      <formula2>0</formula2>
    </dataValidation>
    <dataValidation allowBlank="true" errorStyle="stop" operator="between" showDropDown="false" showErrorMessage="true" showInputMessage="false" sqref="AB7:AB26" type="list">
      <formula1>AINames</formula1>
      <formula2>0</formula2>
    </dataValidation>
    <dataValidation allowBlank="true" errorStyle="stop" operator="between" showDropDown="false" showErrorMessage="true" showInputMessage="false" sqref="AH7:AH26" type="list">
      <formula1>ConfNames</formula1>
      <formula2>0</formula2>
    </dataValidation>
    <dataValidation allowBlank="true" error="Enter a value between 1 and 5." errorStyle="stop" errorTitle="Out of range" operator="between" showDropDown="false" showErrorMessage="true" showInputMessage="false" sqref="G7:G26" type="whole">
      <formula1>1</formula1>
      <formula2>5</formula2>
    </dataValidation>
    <dataValidation allowBlank="true" error="Enter a value between 0 and 1." errorStyle="stop" errorTitle="Out of range" operator="between" showDropDown="false" showErrorMessage="true" showInputMessage="false" sqref="J7:R26 T7:W26 AE7:AG26" type="decimal">
      <formula1>0</formula1>
      <formula2>1</formula2>
    </dataValidation>
    <dataValidation allowBlank="true" error="Pages per report must be at least 1." errorStyle="stop" errorTitle="Out of range" operator="between" showDropDown="false" showErrorMessage="true" showInputMessage="false" sqref="I7:I26" type="decimal">
      <formula1>1</formula1>
      <formula2>100</formula2>
    </dataValidation>
    <dataValidation allowBlank="true" error="Enter a value between 0 and 1000000." errorStyle="stop" errorTitle="Out of range" operator="between" showDropDown="false" showErrorMessage="true" showInputMessage="false" sqref="H7:H26 S7:S26 X7:X26 Z7:AA26" type="decimal">
      <formula1>0</formula1>
      <formula2>1000000</formula2>
    </dataValidation>
    <dataValidation allowBlank="true" error="Enter a value between 0.7 and 2.0." errorStyle="stop" errorTitle="Out of range" operator="between" showDropDown="false" showErrorMessage="true" showInputMessage="false" sqref="AC7:AC26" type="decimal">
      <formula1>0.7</formula1>
      <formula2>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60"/>
    <col collapsed="false" customWidth="true" hidden="false" outlineLevel="0" max="3" min="3" style="0" width="13"/>
    <col collapsed="false" customWidth="true" hidden="false" outlineLevel="0" max="4" min="4" style="0" width="12"/>
    <col collapsed="false" customWidth="true" hidden="false" outlineLevel="0" max="5" min="5" style="0" width="13"/>
    <col collapsed="false" customWidth="true" hidden="false" outlineLevel="0" max="6" min="6" style="0" width="16"/>
    <col collapsed="false" customWidth="true" hidden="false" outlineLevel="0" max="7" min="7" style="0" width="50"/>
  </cols>
  <sheetData>
    <row r="1" customFormat="false" ht="19.7" hidden="false" customHeight="false" outlineLevel="0" collapsed="false">
      <c r="A1" s="1" t="s">
        <v>31</v>
      </c>
      <c r="B1" s="2"/>
      <c r="C1" s="2"/>
      <c r="D1" s="2"/>
      <c r="E1" s="2"/>
      <c r="F1" s="2"/>
      <c r="G1" s="2"/>
    </row>
    <row r="2" customFormat="false" ht="15" hidden="false" customHeight="false" outlineLevel="0" collapsed="false">
      <c r="A2" s="3" t="s">
        <v>237</v>
      </c>
      <c r="B2" s="2"/>
      <c r="C2" s="2"/>
      <c r="D2" s="2"/>
      <c r="E2" s="2"/>
      <c r="F2" s="2"/>
      <c r="G2" s="2"/>
    </row>
    <row r="3" customFormat="false" ht="15" hidden="false" customHeight="false" outlineLevel="0" collapsed="false">
      <c r="A3" s="2"/>
      <c r="B3" s="2"/>
      <c r="C3" s="2"/>
      <c r="D3" s="2"/>
      <c r="E3" s="2"/>
      <c r="F3" s="2"/>
      <c r="G3" s="2"/>
    </row>
    <row r="4" customFormat="false" ht="15" hidden="false" customHeight="false" outlineLevel="0" collapsed="false">
      <c r="A4" s="2"/>
      <c r="B4" s="2"/>
      <c r="C4" s="2"/>
      <c r="D4" s="2"/>
      <c r="E4" s="2"/>
      <c r="F4" s="2"/>
      <c r="G4" s="2"/>
    </row>
    <row r="5" customFormat="false" ht="30" hidden="false" customHeight="true" outlineLevel="0" collapsed="false">
      <c r="A5" s="21" t="s">
        <v>188</v>
      </c>
      <c r="B5" s="21" t="s">
        <v>238</v>
      </c>
      <c r="C5" s="21" t="s">
        <v>239</v>
      </c>
      <c r="D5" s="21" t="s">
        <v>240</v>
      </c>
      <c r="E5" s="21" t="s">
        <v>241</v>
      </c>
      <c r="F5" s="21" t="s">
        <v>242</v>
      </c>
      <c r="G5" s="21" t="s">
        <v>243</v>
      </c>
    </row>
    <row r="6" customFormat="false" ht="15" hidden="false" customHeight="false" outlineLevel="0" collapsed="false">
      <c r="A6" s="9" t="n">
        <v>1</v>
      </c>
      <c r="B6" s="33" t="s">
        <v>244</v>
      </c>
      <c r="C6" s="41" t="n">
        <v>200</v>
      </c>
      <c r="D6" s="35" t="n">
        <v>0.3</v>
      </c>
      <c r="E6" s="22" t="n">
        <f aca="false">N(C6)*N(D6)</f>
        <v>60</v>
      </c>
      <c r="F6" s="33" t="s">
        <v>245</v>
      </c>
      <c r="G6" s="33" t="s">
        <v>246</v>
      </c>
    </row>
    <row r="7" customFormat="false" ht="15" hidden="false" customHeight="false" outlineLevel="0" collapsed="false">
      <c r="A7" s="9" t="n">
        <v>2</v>
      </c>
      <c r="B7" s="33" t="s">
        <v>247</v>
      </c>
      <c r="C7" s="41" t="n">
        <v>120</v>
      </c>
      <c r="D7" s="35" t="n">
        <v>0.25</v>
      </c>
      <c r="E7" s="22" t="n">
        <f aca="false">N(C7)*N(D7)</f>
        <v>30</v>
      </c>
      <c r="F7" s="33" t="s">
        <v>248</v>
      </c>
      <c r="G7" s="33" t="s">
        <v>249</v>
      </c>
    </row>
    <row r="8" customFormat="false" ht="15" hidden="false" customHeight="false" outlineLevel="0" collapsed="false">
      <c r="A8" s="9" t="n">
        <v>3</v>
      </c>
      <c r="B8" s="33"/>
      <c r="C8" s="41"/>
      <c r="D8" s="35"/>
      <c r="E8" s="22" t="n">
        <f aca="false">N(C8)*N(D8)</f>
        <v>0</v>
      </c>
      <c r="F8" s="33"/>
      <c r="G8" s="33"/>
    </row>
    <row r="9" customFormat="false" ht="15" hidden="false" customHeight="false" outlineLevel="0" collapsed="false">
      <c r="A9" s="9" t="n">
        <v>4</v>
      </c>
      <c r="B9" s="33"/>
      <c r="C9" s="41"/>
      <c r="D9" s="35"/>
      <c r="E9" s="22" t="n">
        <f aca="false">N(C9)*N(D9)</f>
        <v>0</v>
      </c>
      <c r="F9" s="33"/>
      <c r="G9" s="33"/>
    </row>
    <row r="10" customFormat="false" ht="15" hidden="false" customHeight="false" outlineLevel="0" collapsed="false">
      <c r="A10" s="9" t="n">
        <v>5</v>
      </c>
      <c r="B10" s="33"/>
      <c r="C10" s="41"/>
      <c r="D10" s="35"/>
      <c r="E10" s="22" t="n">
        <f aca="false">N(C10)*N(D10)</f>
        <v>0</v>
      </c>
      <c r="F10" s="33"/>
      <c r="G10" s="33"/>
    </row>
    <row r="11" customFormat="false" ht="15" hidden="false" customHeight="false" outlineLevel="0" collapsed="false">
      <c r="A11" s="9" t="n">
        <v>6</v>
      </c>
      <c r="B11" s="33"/>
      <c r="C11" s="41"/>
      <c r="D11" s="35"/>
      <c r="E11" s="22" t="n">
        <f aca="false">N(C11)*N(D11)</f>
        <v>0</v>
      </c>
      <c r="F11" s="33"/>
      <c r="G11" s="33"/>
    </row>
    <row r="12" customFormat="false" ht="15" hidden="false" customHeight="false" outlineLevel="0" collapsed="false">
      <c r="A12" s="9" t="n">
        <v>7</v>
      </c>
      <c r="B12" s="33"/>
      <c r="C12" s="41"/>
      <c r="D12" s="35"/>
      <c r="E12" s="22" t="n">
        <f aca="false">N(C12)*N(D12)</f>
        <v>0</v>
      </c>
      <c r="F12" s="33"/>
      <c r="G12" s="33"/>
    </row>
    <row r="13" customFormat="false" ht="15" hidden="false" customHeight="false" outlineLevel="0" collapsed="false">
      <c r="A13" s="9" t="n">
        <v>8</v>
      </c>
      <c r="B13" s="33"/>
      <c r="C13" s="41"/>
      <c r="D13" s="35"/>
      <c r="E13" s="22" t="n">
        <f aca="false">N(C13)*N(D13)</f>
        <v>0</v>
      </c>
      <c r="F13" s="33"/>
      <c r="G13" s="33"/>
    </row>
    <row r="14" customFormat="false" ht="15" hidden="false" customHeight="false" outlineLevel="0" collapsed="false">
      <c r="A14" s="9" t="n">
        <v>9</v>
      </c>
      <c r="B14" s="33"/>
      <c r="C14" s="41"/>
      <c r="D14" s="35"/>
      <c r="E14" s="22" t="n">
        <f aca="false">N(C14)*N(D14)</f>
        <v>0</v>
      </c>
      <c r="F14" s="33"/>
      <c r="G14" s="33"/>
    </row>
    <row r="15" customFormat="false" ht="15" hidden="false" customHeight="false" outlineLevel="0" collapsed="false">
      <c r="A15" s="9" t="n">
        <v>10</v>
      </c>
      <c r="B15" s="33"/>
      <c r="C15" s="41"/>
      <c r="D15" s="35"/>
      <c r="E15" s="22" t="n">
        <f aca="false">N(C15)*N(D15)</f>
        <v>0</v>
      </c>
      <c r="F15" s="33"/>
      <c r="G15" s="33"/>
    </row>
    <row r="16" customFormat="false" ht="15" hidden="false" customHeight="false" outlineLevel="0" collapsed="false">
      <c r="A16" s="9" t="n">
        <v>11</v>
      </c>
      <c r="B16" s="33"/>
      <c r="C16" s="41"/>
      <c r="D16" s="35"/>
      <c r="E16" s="22" t="n">
        <f aca="false">N(C16)*N(D16)</f>
        <v>0</v>
      </c>
      <c r="F16" s="33"/>
      <c r="G16" s="33"/>
    </row>
    <row r="17" customFormat="false" ht="15" hidden="false" customHeight="false" outlineLevel="0" collapsed="false">
      <c r="A17" s="9" t="n">
        <v>12</v>
      </c>
      <c r="B17" s="33"/>
      <c r="C17" s="41"/>
      <c r="D17" s="35"/>
      <c r="E17" s="22" t="n">
        <f aca="false">N(C17)*N(D17)</f>
        <v>0</v>
      </c>
      <c r="F17" s="33"/>
      <c r="G17" s="33"/>
    </row>
    <row r="18" customFormat="false" ht="15" hidden="false" customHeight="false" outlineLevel="0" collapsed="false">
      <c r="A18" s="9" t="n">
        <v>13</v>
      </c>
      <c r="B18" s="33"/>
      <c r="C18" s="41"/>
      <c r="D18" s="35"/>
      <c r="E18" s="22" t="n">
        <f aca="false">N(C18)*N(D18)</f>
        <v>0</v>
      </c>
      <c r="F18" s="33"/>
      <c r="G18" s="33"/>
    </row>
    <row r="19" customFormat="false" ht="15" hidden="false" customHeight="false" outlineLevel="0" collapsed="false">
      <c r="A19" s="9" t="n">
        <v>14</v>
      </c>
      <c r="B19" s="33"/>
      <c r="C19" s="41"/>
      <c r="D19" s="35"/>
      <c r="E19" s="22" t="n">
        <f aca="false">N(C19)*N(D19)</f>
        <v>0</v>
      </c>
      <c r="F19" s="33"/>
      <c r="G19" s="33"/>
    </row>
    <row r="20" customFormat="false" ht="15" hidden="false" customHeight="false" outlineLevel="0" collapsed="false">
      <c r="A20" s="9" t="n">
        <v>15</v>
      </c>
      <c r="B20" s="33"/>
      <c r="C20" s="41"/>
      <c r="D20" s="35"/>
      <c r="E20" s="22" t="n">
        <f aca="false">N(C20)*N(D20)</f>
        <v>0</v>
      </c>
      <c r="F20" s="33"/>
      <c r="G20" s="33"/>
    </row>
    <row r="21" customFormat="false" ht="15" hidden="false" customHeight="false" outlineLevel="0" collapsed="false">
      <c r="A21" s="2"/>
      <c r="B21" s="2"/>
      <c r="C21" s="2"/>
      <c r="D21" s="26" t="s">
        <v>91</v>
      </c>
      <c r="E21" s="27" t="n">
        <f aca="false">SUM(E6:E20)</f>
        <v>90</v>
      </c>
      <c r="F21" s="2"/>
      <c r="G21" s="2"/>
    </row>
  </sheetData>
  <sheetProtection sheet="true" formatColumns="false" formatRows="false"/>
  <dataValidations count="1">
    <dataValidation allowBlank="true" error="Enter a value between 0 and 1." errorStyle="stop" errorTitle="Out of range" operator="between" showDropDown="false" showErrorMessage="true" showInputMessage="false" sqref="D6:D20"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34"/>
    <col collapsed="false" customWidth="true" hidden="false" outlineLevel="0" max="10" min="4" style="0" width="13"/>
    <col collapsed="false" customWidth="true" hidden="false" outlineLevel="0" max="11" min="11" style="0" width="10"/>
  </cols>
  <sheetData>
    <row r="1" customFormat="false" ht="19.7" hidden="false" customHeight="false" outlineLevel="0" collapsed="false">
      <c r="A1" s="1" t="s">
        <v>33</v>
      </c>
      <c r="B1" s="2"/>
      <c r="C1" s="2"/>
      <c r="D1" s="2"/>
      <c r="E1" s="2"/>
      <c r="F1" s="2"/>
      <c r="G1" s="2"/>
      <c r="H1" s="2"/>
      <c r="I1" s="2"/>
      <c r="J1" s="2"/>
      <c r="K1" s="2"/>
    </row>
    <row r="2" customFormat="false" ht="15" hidden="false" customHeight="false" outlineLevel="0" collapsed="false">
      <c r="A2" s="3" t="s">
        <v>250</v>
      </c>
      <c r="B2" s="2"/>
      <c r="C2" s="2"/>
      <c r="D2" s="2"/>
      <c r="E2" s="2"/>
      <c r="F2" s="2"/>
      <c r="G2" s="2"/>
      <c r="H2" s="2"/>
      <c r="I2" s="2"/>
      <c r="J2" s="2"/>
      <c r="K2" s="2"/>
    </row>
    <row r="3" customFormat="false" ht="15" hidden="false" customHeight="false" outlineLevel="0" collapsed="false">
      <c r="A3" s="2"/>
      <c r="B3" s="2"/>
      <c r="C3" s="2"/>
      <c r="D3" s="2"/>
      <c r="E3" s="2"/>
      <c r="F3" s="2"/>
      <c r="G3" s="2"/>
      <c r="H3" s="2"/>
      <c r="I3" s="2"/>
      <c r="J3" s="2"/>
      <c r="K3" s="2"/>
    </row>
    <row r="4" customFormat="false" ht="15" hidden="false" customHeight="false" outlineLevel="0" collapsed="false">
      <c r="A4" s="19" t="s">
        <v>251</v>
      </c>
      <c r="B4" s="20"/>
      <c r="C4" s="20"/>
      <c r="D4" s="20"/>
      <c r="E4" s="20"/>
      <c r="F4" s="2"/>
      <c r="G4" s="2"/>
      <c r="H4" s="2"/>
      <c r="I4" s="2"/>
      <c r="J4" s="2"/>
      <c r="K4" s="2"/>
    </row>
    <row r="5" customFormat="false" ht="30" hidden="false" customHeight="true" outlineLevel="0" collapsed="false">
      <c r="A5" s="21" t="s">
        <v>188</v>
      </c>
      <c r="B5" s="21" t="s">
        <v>252</v>
      </c>
      <c r="C5" s="21" t="s">
        <v>253</v>
      </c>
      <c r="D5" s="21" t="s">
        <v>81</v>
      </c>
      <c r="E5" s="21" t="s">
        <v>80</v>
      </c>
      <c r="F5" s="2"/>
      <c r="G5" s="2"/>
      <c r="H5" s="2"/>
      <c r="I5" s="2"/>
      <c r="J5" s="2"/>
      <c r="K5" s="2"/>
    </row>
    <row r="6" customFormat="false" ht="15" hidden="false" customHeight="false" outlineLevel="0" collapsed="false">
      <c r="A6" s="9" t="n">
        <v>1</v>
      </c>
      <c r="B6" s="33" t="s">
        <v>254</v>
      </c>
      <c r="C6" s="33" t="s">
        <v>255</v>
      </c>
      <c r="D6" s="25" t="n">
        <f aca="false">IFERROR(INDEX(RateVals,MATCH(C6,RateKeys,0)),0)</f>
        <v>82</v>
      </c>
      <c r="E6" s="9" t="str">
        <f aca="false">IFERROR(INDEX(RateLocs,MATCH(C6,RateKeys,0)),"")</f>
        <v>India</v>
      </c>
      <c r="F6" s="2"/>
      <c r="G6" s="2"/>
      <c r="H6" s="2"/>
      <c r="I6" s="2"/>
      <c r="J6" s="2"/>
      <c r="K6" s="2"/>
    </row>
    <row r="7" customFormat="false" ht="15" hidden="false" customHeight="false" outlineLevel="0" collapsed="false">
      <c r="A7" s="9" t="n">
        <v>2</v>
      </c>
      <c r="B7" s="33" t="s">
        <v>256</v>
      </c>
      <c r="C7" s="33" t="s">
        <v>257</v>
      </c>
      <c r="D7" s="25" t="n">
        <f aca="false">IFERROR(INDEX(RateVals,MATCH(C7,RateKeys,0)),0)</f>
        <v>185</v>
      </c>
      <c r="E7" s="9" t="str">
        <f aca="false">IFERROR(INDEX(RateLocs,MATCH(C7,RateKeys,0)),"")</f>
        <v>USA</v>
      </c>
      <c r="F7" s="2"/>
      <c r="G7" s="2"/>
      <c r="H7" s="2"/>
      <c r="I7" s="2"/>
      <c r="J7" s="2"/>
      <c r="K7" s="2"/>
    </row>
    <row r="8" customFormat="false" ht="15" hidden="false" customHeight="false" outlineLevel="0" collapsed="false">
      <c r="A8" s="9" t="n">
        <v>3</v>
      </c>
      <c r="B8" s="33" t="s">
        <v>258</v>
      </c>
      <c r="C8" s="33" t="s">
        <v>259</v>
      </c>
      <c r="D8" s="25" t="n">
        <f aca="false">IFERROR(INDEX(RateVals,MATCH(C8,RateKeys,0)),0)</f>
        <v>87</v>
      </c>
      <c r="E8" s="9" t="str">
        <f aca="false">IFERROR(INDEX(RateLocs,MATCH(C8,RateKeys,0)),"")</f>
        <v>India</v>
      </c>
      <c r="F8" s="2"/>
      <c r="G8" s="2"/>
      <c r="H8" s="2"/>
      <c r="I8" s="2"/>
      <c r="J8" s="2"/>
      <c r="K8" s="2"/>
    </row>
    <row r="9" customFormat="false" ht="15" hidden="false" customHeight="false" outlineLevel="0" collapsed="false">
      <c r="A9" s="9" t="n">
        <v>4</v>
      </c>
      <c r="B9" s="33" t="s">
        <v>260</v>
      </c>
      <c r="C9" s="33" t="s">
        <v>261</v>
      </c>
      <c r="D9" s="25" t="n">
        <f aca="false">IFERROR(INDEX(RateVals,MATCH(C9,RateKeys,0)),0)</f>
        <v>70</v>
      </c>
      <c r="E9" s="9" t="str">
        <f aca="false">IFERROR(INDEX(RateLocs,MATCH(C9,RateKeys,0)),"")</f>
        <v>India</v>
      </c>
      <c r="F9" s="2"/>
      <c r="G9" s="2"/>
      <c r="H9" s="2"/>
      <c r="I9" s="2"/>
      <c r="J9" s="2"/>
      <c r="K9" s="2"/>
    </row>
    <row r="10" customFormat="false" ht="15" hidden="false" customHeight="false" outlineLevel="0" collapsed="false">
      <c r="A10" s="9" t="n">
        <v>5</v>
      </c>
      <c r="B10" s="33" t="s">
        <v>262</v>
      </c>
      <c r="C10" s="33" t="s">
        <v>263</v>
      </c>
      <c r="D10" s="25" t="n">
        <f aca="false">IFERROR(INDEX(RateVals,MATCH(C10,RateKeys,0)),0)</f>
        <v>70</v>
      </c>
      <c r="E10" s="9" t="str">
        <f aca="false">IFERROR(INDEX(RateLocs,MATCH(C10,RateKeys,0)),"")</f>
        <v>India</v>
      </c>
      <c r="F10" s="2"/>
      <c r="G10" s="2"/>
      <c r="H10" s="2"/>
      <c r="I10" s="2"/>
      <c r="J10" s="2"/>
      <c r="K10" s="2"/>
    </row>
    <row r="11" customFormat="false" ht="15" hidden="false" customHeight="false" outlineLevel="0" collapsed="false">
      <c r="A11" s="9" t="n">
        <v>6</v>
      </c>
      <c r="B11" s="33" t="s">
        <v>264</v>
      </c>
      <c r="C11" s="33" t="s">
        <v>265</v>
      </c>
      <c r="D11" s="25" t="n">
        <f aca="false">IFERROR(INDEX(RateVals,MATCH(C11,RateKeys,0)),0)</f>
        <v>62</v>
      </c>
      <c r="E11" s="9" t="str">
        <f aca="false">IFERROR(INDEX(RateLocs,MATCH(C11,RateKeys,0)),"")</f>
        <v>India</v>
      </c>
      <c r="F11" s="2"/>
      <c r="G11" s="2"/>
      <c r="H11" s="2"/>
      <c r="I11" s="2"/>
      <c r="J11" s="2"/>
      <c r="K11" s="2"/>
    </row>
    <row r="12" customFormat="false" ht="15" hidden="false" customHeight="false" outlineLevel="0" collapsed="false">
      <c r="A12" s="9" t="n">
        <v>7</v>
      </c>
      <c r="B12" s="33" t="s">
        <v>266</v>
      </c>
      <c r="C12" s="33" t="s">
        <v>267</v>
      </c>
      <c r="D12" s="25" t="n">
        <f aca="false">IFERROR(INDEX(RateVals,MATCH(C12,RateKeys,0)),0)</f>
        <v>50</v>
      </c>
      <c r="E12" s="9" t="str">
        <f aca="false">IFERROR(INDEX(RateLocs,MATCH(C12,RateKeys,0)),"")</f>
        <v>India</v>
      </c>
      <c r="F12" s="2"/>
      <c r="G12" s="2"/>
      <c r="H12" s="2"/>
      <c r="I12" s="2"/>
      <c r="J12" s="2"/>
      <c r="K12" s="2"/>
    </row>
    <row r="13" customFormat="false" ht="15" hidden="false" customHeight="false" outlineLevel="0" collapsed="false">
      <c r="A13" s="9" t="n">
        <v>8</v>
      </c>
      <c r="B13" s="33" t="s">
        <v>268</v>
      </c>
      <c r="C13" s="33" t="s">
        <v>269</v>
      </c>
      <c r="D13" s="25" t="n">
        <f aca="false">IFERROR(INDEX(RateVals,MATCH(C13,RateKeys,0)),0)</f>
        <v>57.5</v>
      </c>
      <c r="E13" s="9" t="str">
        <f aca="false">IFERROR(INDEX(RateLocs,MATCH(C13,RateKeys,0)),"")</f>
        <v>India</v>
      </c>
      <c r="F13" s="2"/>
      <c r="G13" s="2"/>
      <c r="H13" s="2"/>
      <c r="I13" s="2"/>
      <c r="J13" s="2"/>
      <c r="K13" s="2"/>
    </row>
    <row r="14" customFormat="false" ht="15" hidden="false" customHeight="false" outlineLevel="0" collapsed="false">
      <c r="A14" s="2"/>
      <c r="B14" s="2"/>
      <c r="C14" s="2"/>
      <c r="D14" s="2"/>
      <c r="E14" s="2"/>
      <c r="F14" s="2"/>
      <c r="G14" s="2"/>
      <c r="H14" s="2"/>
      <c r="I14" s="2"/>
      <c r="J14" s="2"/>
      <c r="K14" s="2"/>
    </row>
    <row r="15" customFormat="false" ht="15" hidden="false" customHeight="false" outlineLevel="0" collapsed="false">
      <c r="A15" s="2"/>
      <c r="B15" s="2"/>
      <c r="C15" s="2"/>
      <c r="D15" s="2"/>
      <c r="E15" s="2"/>
      <c r="F15" s="2"/>
      <c r="G15" s="2"/>
      <c r="H15" s="2"/>
      <c r="I15" s="2"/>
      <c r="J15" s="2"/>
      <c r="K15" s="2"/>
    </row>
    <row r="16" customFormat="false" ht="15" hidden="false" customHeight="false" outlineLevel="0" collapsed="false">
      <c r="A16" s="19" t="s">
        <v>270</v>
      </c>
      <c r="B16" s="20"/>
      <c r="C16" s="20"/>
      <c r="D16" s="20"/>
      <c r="E16" s="20"/>
      <c r="F16" s="20"/>
      <c r="G16" s="20"/>
      <c r="H16" s="20"/>
      <c r="I16" s="20"/>
      <c r="J16" s="20"/>
      <c r="K16" s="20"/>
    </row>
    <row r="17" customFormat="false" ht="45" hidden="false" customHeight="true" outlineLevel="0" collapsed="false">
      <c r="A17" s="21" t="s">
        <v>188</v>
      </c>
      <c r="B17" s="21" t="s">
        <v>74</v>
      </c>
      <c r="C17" s="21" t="str">
        <f aca="false">B6</f>
        <v>Delivery manager / PM</v>
      </c>
      <c r="D17" s="21" t="str">
        <f aca="false">B7</f>
        <v>Onsite architect</v>
      </c>
      <c r="E17" s="21" t="str">
        <f aca="false">B8</f>
        <v>Solution architect</v>
      </c>
      <c r="F17" s="21" t="str">
        <f aca="false">B9</f>
        <v>BI architect</v>
      </c>
      <c r="G17" s="21" t="str">
        <f aca="false">B10</f>
        <v>Lead</v>
      </c>
      <c r="H17" s="21" t="str">
        <f aca="false">B11</f>
        <v>Sr. engineer</v>
      </c>
      <c r="I17" s="21" t="str">
        <f aca="false">B12</f>
        <v>Engineer</v>
      </c>
      <c r="J17" s="21" t="str">
        <f aca="false">B13</f>
        <v>QA engineer</v>
      </c>
      <c r="K17" s="21" t="s">
        <v>91</v>
      </c>
    </row>
    <row r="18" customFormat="false" ht="15" hidden="false" customHeight="false" outlineLevel="0" collapsed="false">
      <c r="A18" s="9" t="n">
        <v>1</v>
      </c>
      <c r="B18" s="9" t="s">
        <v>82</v>
      </c>
      <c r="C18" s="35" t="n">
        <v>0</v>
      </c>
      <c r="D18" s="35" t="n">
        <v>0.2</v>
      </c>
      <c r="E18" s="35" t="n">
        <v>0.3</v>
      </c>
      <c r="F18" s="35" t="n">
        <v>0.3</v>
      </c>
      <c r="G18" s="35" t="n">
        <v>0.2</v>
      </c>
      <c r="H18" s="35" t="n">
        <v>0</v>
      </c>
      <c r="I18" s="35" t="n">
        <v>0</v>
      </c>
      <c r="J18" s="35" t="n">
        <v>0</v>
      </c>
      <c r="K18" s="38" t="n">
        <f aca="false">SUM(C18:J18)</f>
        <v>1</v>
      </c>
    </row>
    <row r="19" customFormat="false" ht="15" hidden="false" customHeight="false" outlineLevel="0" collapsed="false">
      <c r="A19" s="9" t="n">
        <v>2</v>
      </c>
      <c r="B19" s="9" t="s">
        <v>83</v>
      </c>
      <c r="C19" s="35" t="n">
        <v>0</v>
      </c>
      <c r="D19" s="35" t="n">
        <v>0.25</v>
      </c>
      <c r="E19" s="35" t="n">
        <v>0.4</v>
      </c>
      <c r="F19" s="35" t="n">
        <v>0.35</v>
      </c>
      <c r="G19" s="35" t="n">
        <v>0</v>
      </c>
      <c r="H19" s="35" t="n">
        <v>0</v>
      </c>
      <c r="I19" s="35" t="n">
        <v>0</v>
      </c>
      <c r="J19" s="35" t="n">
        <v>0</v>
      </c>
      <c r="K19" s="38" t="n">
        <f aca="false">SUM(C19:J19)</f>
        <v>1</v>
      </c>
    </row>
    <row r="20" customFormat="false" ht="15" hidden="false" customHeight="false" outlineLevel="0" collapsed="false">
      <c r="A20" s="9" t="n">
        <v>3</v>
      </c>
      <c r="B20" s="9" t="s">
        <v>84</v>
      </c>
      <c r="C20" s="35" t="n">
        <v>0</v>
      </c>
      <c r="D20" s="35" t="n">
        <v>0</v>
      </c>
      <c r="E20" s="35" t="n">
        <v>0</v>
      </c>
      <c r="F20" s="35" t="n">
        <v>0.15</v>
      </c>
      <c r="G20" s="35" t="n">
        <v>0.15</v>
      </c>
      <c r="H20" s="35" t="n">
        <v>0.5</v>
      </c>
      <c r="I20" s="35" t="n">
        <v>0.2</v>
      </c>
      <c r="J20" s="35" t="n">
        <v>0</v>
      </c>
      <c r="K20" s="38" t="n">
        <f aca="false">SUM(C20:J20)</f>
        <v>1</v>
      </c>
    </row>
    <row r="21" customFormat="false" ht="15" hidden="false" customHeight="false" outlineLevel="0" collapsed="false">
      <c r="A21" s="9" t="n">
        <v>4</v>
      </c>
      <c r="B21" s="9" t="s">
        <v>85</v>
      </c>
      <c r="C21" s="35" t="n">
        <v>0</v>
      </c>
      <c r="D21" s="35" t="n">
        <v>0</v>
      </c>
      <c r="E21" s="35" t="n">
        <v>0</v>
      </c>
      <c r="F21" s="35" t="n">
        <v>0</v>
      </c>
      <c r="G21" s="35" t="n">
        <v>0.1</v>
      </c>
      <c r="H21" s="35" t="n">
        <v>0.3</v>
      </c>
      <c r="I21" s="35" t="n">
        <v>0.6</v>
      </c>
      <c r="J21" s="35" t="n">
        <v>0</v>
      </c>
      <c r="K21" s="38" t="n">
        <f aca="false">SUM(C21:J21)</f>
        <v>1</v>
      </c>
    </row>
    <row r="22" customFormat="false" ht="15" hidden="false" customHeight="false" outlineLevel="0" collapsed="false">
      <c r="A22" s="9" t="n">
        <v>5</v>
      </c>
      <c r="B22" s="9" t="s">
        <v>86</v>
      </c>
      <c r="C22" s="35" t="n">
        <v>0</v>
      </c>
      <c r="D22" s="35" t="n">
        <v>0</v>
      </c>
      <c r="E22" s="35" t="n">
        <v>0</v>
      </c>
      <c r="F22" s="35" t="n">
        <v>0</v>
      </c>
      <c r="G22" s="35" t="n">
        <v>0.1</v>
      </c>
      <c r="H22" s="35" t="n">
        <v>0</v>
      </c>
      <c r="I22" s="35" t="n">
        <v>0.2</v>
      </c>
      <c r="J22" s="35" t="n">
        <v>0.7</v>
      </c>
      <c r="K22" s="38" t="n">
        <f aca="false">SUM(C22:J22)</f>
        <v>1</v>
      </c>
    </row>
    <row r="23" customFormat="false" ht="15" hidden="false" customHeight="false" outlineLevel="0" collapsed="false">
      <c r="A23" s="9" t="n">
        <v>6</v>
      </c>
      <c r="B23" s="9" t="s">
        <v>87</v>
      </c>
      <c r="C23" s="35" t="n">
        <v>0</v>
      </c>
      <c r="D23" s="35" t="n">
        <v>0</v>
      </c>
      <c r="E23" s="35" t="n">
        <v>0</v>
      </c>
      <c r="F23" s="35" t="n">
        <v>0</v>
      </c>
      <c r="G23" s="35" t="n">
        <v>0.2</v>
      </c>
      <c r="H23" s="35" t="n">
        <v>0.4</v>
      </c>
      <c r="I23" s="35" t="n">
        <v>0.4</v>
      </c>
      <c r="J23" s="35" t="n">
        <v>0</v>
      </c>
      <c r="K23" s="38" t="n">
        <f aca="false">SUM(C23:J23)</f>
        <v>1</v>
      </c>
    </row>
    <row r="24" customFormat="false" ht="15" hidden="false" customHeight="false" outlineLevel="0" collapsed="false">
      <c r="A24" s="9" t="n">
        <v>7</v>
      </c>
      <c r="B24" s="9" t="s">
        <v>88</v>
      </c>
      <c r="C24" s="35" t="n">
        <v>0</v>
      </c>
      <c r="D24" s="35" t="n">
        <v>0</v>
      </c>
      <c r="E24" s="35" t="n">
        <v>0</v>
      </c>
      <c r="F24" s="35" t="n">
        <v>0</v>
      </c>
      <c r="G24" s="35" t="n">
        <v>0.3</v>
      </c>
      <c r="H24" s="35" t="n">
        <v>0.7</v>
      </c>
      <c r="I24" s="35" t="n">
        <v>0</v>
      </c>
      <c r="J24" s="35" t="n">
        <v>0</v>
      </c>
      <c r="K24" s="38" t="n">
        <f aca="false">SUM(C24:J24)</f>
        <v>1</v>
      </c>
    </row>
    <row r="25" customFormat="false" ht="15" hidden="false" customHeight="false" outlineLevel="0" collapsed="false">
      <c r="A25" s="9" t="n">
        <v>8</v>
      </c>
      <c r="B25" s="9" t="s">
        <v>89</v>
      </c>
      <c r="C25" s="35" t="n">
        <v>0</v>
      </c>
      <c r="D25" s="35" t="n">
        <v>0</v>
      </c>
      <c r="E25" s="35" t="n">
        <v>0</v>
      </c>
      <c r="F25" s="35" t="n">
        <v>0</v>
      </c>
      <c r="G25" s="35" t="n">
        <v>0.25</v>
      </c>
      <c r="H25" s="35" t="n">
        <v>0.5</v>
      </c>
      <c r="I25" s="35" t="n">
        <v>0.25</v>
      </c>
      <c r="J25" s="35" t="n">
        <v>0</v>
      </c>
      <c r="K25" s="38" t="n">
        <f aca="false">SUM(C25:J25)</f>
        <v>1</v>
      </c>
    </row>
    <row r="26" customFormat="false" ht="15" hidden="false" customHeight="false" outlineLevel="0" collapsed="false">
      <c r="A26" s="9" t="n">
        <v>9</v>
      </c>
      <c r="B26" s="9" t="s">
        <v>90</v>
      </c>
      <c r="C26" s="35" t="n">
        <v>0</v>
      </c>
      <c r="D26" s="35" t="n">
        <v>0</v>
      </c>
      <c r="E26" s="35" t="n">
        <v>0</v>
      </c>
      <c r="F26" s="35" t="n">
        <v>0.3</v>
      </c>
      <c r="G26" s="35" t="n">
        <v>0.3</v>
      </c>
      <c r="H26" s="35" t="n">
        <v>0.4</v>
      </c>
      <c r="I26" s="35" t="n">
        <v>0</v>
      </c>
      <c r="J26" s="35" t="n">
        <v>0</v>
      </c>
      <c r="K26" s="38" t="n">
        <f aca="false">SUM(C26:J26)</f>
        <v>1</v>
      </c>
    </row>
    <row r="27" customFormat="false" ht="15" hidden="false" customHeight="false" outlineLevel="0" collapsed="false">
      <c r="A27" s="9" t="n">
        <v>10</v>
      </c>
      <c r="B27" s="9" t="s">
        <v>92</v>
      </c>
      <c r="C27" s="35" t="n">
        <v>0</v>
      </c>
      <c r="D27" s="35" t="n">
        <v>0</v>
      </c>
      <c r="E27" s="35" t="n">
        <v>0</v>
      </c>
      <c r="F27" s="35" t="n">
        <v>0.4</v>
      </c>
      <c r="G27" s="35" t="n">
        <v>0</v>
      </c>
      <c r="H27" s="35" t="n">
        <v>0.6</v>
      </c>
      <c r="I27" s="35" t="n">
        <v>0</v>
      </c>
      <c r="J27" s="35" t="n">
        <v>0</v>
      </c>
      <c r="K27" s="38" t="n">
        <f aca="false">SUM(C27:J27)</f>
        <v>1</v>
      </c>
    </row>
    <row r="28" customFormat="false" ht="15" hidden="false" customHeight="false" outlineLevel="0" collapsed="false">
      <c r="A28" s="9" t="n">
        <v>11</v>
      </c>
      <c r="B28" s="9" t="s">
        <v>93</v>
      </c>
      <c r="C28" s="35" t="n">
        <v>1</v>
      </c>
      <c r="D28" s="35" t="n">
        <v>0</v>
      </c>
      <c r="E28" s="35" t="n">
        <v>0</v>
      </c>
      <c r="F28" s="35" t="n">
        <v>0</v>
      </c>
      <c r="G28" s="35" t="n">
        <v>0</v>
      </c>
      <c r="H28" s="35" t="n">
        <v>0</v>
      </c>
      <c r="I28" s="35" t="n">
        <v>0</v>
      </c>
      <c r="J28" s="35" t="n">
        <v>0</v>
      </c>
      <c r="K28" s="38" t="n">
        <f aca="false">SUM(C28:J28)</f>
        <v>1</v>
      </c>
    </row>
  </sheetData>
  <sheetProtection sheet="true" formatColumns="false" formatRows="false"/>
  <conditionalFormatting sqref="K18:K28">
    <cfRule type="expression" priority="2" aboveAverage="0" equalAverage="0" bottom="0" percent="0" rank="0" text="" dxfId="1">
      <formula>ABS(K18-1)&gt;0.0001</formula>
    </cfRule>
  </conditionalFormatting>
  <dataValidations count="1">
    <dataValidation allowBlank="true" errorStyle="stop" operator="between" showDropDown="false" showErrorMessage="true" showInputMessage="false" sqref="C6:C13" type="list">
      <formula1>RateKeys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10"/>
    <col collapsed="false" customWidth="true" hidden="false" outlineLevel="0" max="4" min="4" style="0" width="13"/>
    <col collapsed="false" customWidth="true" hidden="false" outlineLevel="0" max="5" min="5" style="0" width="34"/>
    <col collapsed="false" customWidth="true" hidden="false" outlineLevel="0" max="10" min="7" style="0" width="20"/>
  </cols>
  <sheetData>
    <row r="1" customFormat="false" ht="19.7" hidden="false" customHeight="false" outlineLevel="0" collapsed="false">
      <c r="A1" s="1" t="s">
        <v>35</v>
      </c>
      <c r="B1" s="2"/>
      <c r="C1" s="2"/>
      <c r="D1" s="2"/>
      <c r="E1" s="2"/>
      <c r="F1" s="2"/>
      <c r="G1" s="2"/>
      <c r="H1" s="2"/>
      <c r="I1" s="2"/>
      <c r="J1" s="2"/>
    </row>
    <row r="2" customFormat="false" ht="15" hidden="false" customHeight="false" outlineLevel="0" collapsed="false">
      <c r="A2" s="3" t="s">
        <v>271</v>
      </c>
      <c r="B2" s="2"/>
      <c r="C2" s="2"/>
      <c r="D2" s="2"/>
      <c r="E2" s="2"/>
      <c r="F2" s="2"/>
      <c r="G2" s="2"/>
      <c r="H2" s="2"/>
      <c r="I2" s="2"/>
      <c r="J2" s="2"/>
    </row>
    <row r="3" customFormat="false" ht="15" hidden="false" customHeight="false" outlineLevel="0" collapsed="false">
      <c r="A3" s="2"/>
      <c r="B3" s="2"/>
      <c r="C3" s="2"/>
      <c r="D3" s="2"/>
      <c r="E3" s="2"/>
      <c r="F3" s="2"/>
      <c r="G3" s="2"/>
      <c r="H3" s="2"/>
      <c r="I3" s="2"/>
      <c r="J3" s="2"/>
    </row>
    <row r="4" customFormat="false" ht="30" hidden="false" customHeight="true" outlineLevel="0" collapsed="false">
      <c r="A4" s="21" t="s">
        <v>79</v>
      </c>
      <c r="B4" s="21" t="s">
        <v>272</v>
      </c>
      <c r="C4" s="21" t="s">
        <v>80</v>
      </c>
      <c r="D4" s="21" t="s">
        <v>81</v>
      </c>
      <c r="E4" s="21" t="s">
        <v>273</v>
      </c>
      <c r="F4" s="2"/>
      <c r="G4" s="5" t="s">
        <v>221</v>
      </c>
      <c r="H4" s="2"/>
      <c r="I4" s="2"/>
      <c r="J4" s="2"/>
    </row>
    <row r="5" customFormat="false" ht="15" hidden="false" customHeight="true" outlineLevel="0" collapsed="false">
      <c r="A5" s="33" t="s">
        <v>274</v>
      </c>
      <c r="B5" s="33" t="s">
        <v>275</v>
      </c>
      <c r="C5" s="33" t="s">
        <v>276</v>
      </c>
      <c r="D5" s="36" t="n">
        <v>87</v>
      </c>
      <c r="E5" s="9" t="str">
        <f aca="false">IF(A5="","",A5&amp;" | "&amp;B5&amp;" | "&amp;C5)</f>
        <v>MSE II | G13 | India</v>
      </c>
      <c r="F5" s="2"/>
      <c r="G5" s="44" t="s">
        <v>277</v>
      </c>
      <c r="H5" s="44"/>
      <c r="I5" s="44"/>
      <c r="J5" s="44"/>
    </row>
    <row r="6" customFormat="false" ht="15" hidden="false" customHeight="false" outlineLevel="0" collapsed="false">
      <c r="A6" s="33" t="s">
        <v>278</v>
      </c>
      <c r="B6" s="33" t="s">
        <v>279</v>
      </c>
      <c r="C6" s="33" t="s">
        <v>276</v>
      </c>
      <c r="D6" s="36" t="n">
        <v>82</v>
      </c>
      <c r="E6" s="9" t="str">
        <f aca="false">IF(A6="","",A6&amp;" | "&amp;B6&amp;" | "&amp;C6)</f>
        <v>MSE I | G12 | India</v>
      </c>
      <c r="F6" s="2"/>
      <c r="G6" s="44"/>
      <c r="H6" s="44"/>
      <c r="I6" s="44"/>
      <c r="J6" s="44"/>
    </row>
    <row r="7" customFormat="false" ht="15" hidden="false" customHeight="false" outlineLevel="0" collapsed="false">
      <c r="A7" s="33" t="s">
        <v>280</v>
      </c>
      <c r="B7" s="33" t="s">
        <v>279</v>
      </c>
      <c r="C7" s="33" t="s">
        <v>276</v>
      </c>
      <c r="D7" s="36" t="n">
        <v>70</v>
      </c>
      <c r="E7" s="9" t="str">
        <f aca="false">IF(A7="","",A7&amp;" | "&amp;B7&amp;" | "&amp;C7)</f>
        <v>Architect II | G12 | India</v>
      </c>
      <c r="F7" s="2"/>
      <c r="G7" s="44"/>
      <c r="H7" s="44"/>
      <c r="I7" s="44"/>
      <c r="J7" s="44"/>
    </row>
    <row r="8" customFormat="false" ht="15" hidden="false" customHeight="false" outlineLevel="0" collapsed="false">
      <c r="A8" s="33" t="s">
        <v>281</v>
      </c>
      <c r="B8" s="33" t="s">
        <v>282</v>
      </c>
      <c r="C8" s="33" t="s">
        <v>276</v>
      </c>
      <c r="D8" s="36" t="n">
        <v>65</v>
      </c>
      <c r="E8" s="9" t="str">
        <f aca="false">IF(A8="","",A8&amp;" | "&amp;B8&amp;" | "&amp;C8)</f>
        <v>Architect I | G11 | India</v>
      </c>
      <c r="F8" s="2"/>
      <c r="G8" s="44"/>
      <c r="H8" s="44"/>
      <c r="I8" s="44"/>
      <c r="J8" s="44"/>
    </row>
    <row r="9" customFormat="false" ht="15" hidden="false" customHeight="false" outlineLevel="0" collapsed="false">
      <c r="A9" s="33" t="s">
        <v>283</v>
      </c>
      <c r="B9" s="33" t="s">
        <v>282</v>
      </c>
      <c r="C9" s="33" t="s">
        <v>276</v>
      </c>
      <c r="D9" s="36" t="n">
        <v>70</v>
      </c>
      <c r="E9" s="9" t="str">
        <f aca="false">IF(A9="","",A9&amp;" | "&amp;B9&amp;" | "&amp;C9)</f>
        <v>Lead II | G11 | India</v>
      </c>
      <c r="F9" s="2"/>
      <c r="G9" s="2"/>
      <c r="H9" s="2"/>
      <c r="I9" s="2"/>
      <c r="J9" s="2"/>
    </row>
    <row r="10" customFormat="false" ht="15" hidden="false" customHeight="false" outlineLevel="0" collapsed="false">
      <c r="A10" s="33" t="s">
        <v>283</v>
      </c>
      <c r="B10" s="33" t="s">
        <v>284</v>
      </c>
      <c r="C10" s="33" t="s">
        <v>276</v>
      </c>
      <c r="D10" s="36" t="n">
        <v>70</v>
      </c>
      <c r="E10" s="9" t="str">
        <f aca="false">IF(A10="","",A10&amp;" | "&amp;B10&amp;" | "&amp;C10)</f>
        <v>Lead II | G10 | India</v>
      </c>
      <c r="F10" s="2"/>
      <c r="G10" s="2"/>
      <c r="H10" s="2"/>
      <c r="I10" s="2"/>
      <c r="J10" s="2"/>
    </row>
    <row r="11" customFormat="false" ht="15" hidden="false" customHeight="false" outlineLevel="0" collapsed="false">
      <c r="A11" s="33" t="s">
        <v>285</v>
      </c>
      <c r="B11" s="33" t="s">
        <v>284</v>
      </c>
      <c r="C11" s="33" t="s">
        <v>276</v>
      </c>
      <c r="D11" s="36" t="n">
        <v>62</v>
      </c>
      <c r="E11" s="9" t="str">
        <f aca="false">IF(A11="","",A11&amp;" | "&amp;B11&amp;" | "&amp;C11)</f>
        <v>Lead I | G10 | India</v>
      </c>
      <c r="F11" s="2"/>
      <c r="G11" s="2"/>
      <c r="H11" s="2"/>
      <c r="I11" s="2"/>
      <c r="J11" s="2"/>
    </row>
    <row r="12" customFormat="false" ht="15" hidden="false" customHeight="false" outlineLevel="0" collapsed="false">
      <c r="A12" s="33" t="s">
        <v>285</v>
      </c>
      <c r="B12" s="33" t="s">
        <v>286</v>
      </c>
      <c r="C12" s="33" t="s">
        <v>276</v>
      </c>
      <c r="D12" s="36" t="n">
        <v>62</v>
      </c>
      <c r="E12" s="9" t="str">
        <f aca="false">IF(A12="","",A12&amp;" | "&amp;B12&amp;" | "&amp;C12)</f>
        <v>Lead I | G9 | India</v>
      </c>
      <c r="F12" s="2"/>
      <c r="G12" s="2"/>
      <c r="H12" s="2"/>
      <c r="I12" s="2"/>
      <c r="J12" s="2"/>
    </row>
    <row r="13" customFormat="false" ht="15" hidden="false" customHeight="false" outlineLevel="0" collapsed="false">
      <c r="A13" s="33" t="s">
        <v>287</v>
      </c>
      <c r="B13" s="33" t="s">
        <v>284</v>
      </c>
      <c r="C13" s="33" t="s">
        <v>276</v>
      </c>
      <c r="D13" s="36" t="n">
        <v>62</v>
      </c>
      <c r="E13" s="9" t="str">
        <f aca="false">IF(A13="","",A13&amp;" | "&amp;B13&amp;" | "&amp;C13)</f>
        <v>Sr. Engineer II | G10 | India</v>
      </c>
      <c r="F13" s="2"/>
      <c r="G13" s="2"/>
      <c r="H13" s="2"/>
      <c r="I13" s="2"/>
      <c r="J13" s="2"/>
    </row>
    <row r="14" customFormat="false" ht="15" hidden="false" customHeight="false" outlineLevel="0" collapsed="false">
      <c r="A14" s="33" t="s">
        <v>287</v>
      </c>
      <c r="B14" s="33" t="s">
        <v>286</v>
      </c>
      <c r="C14" s="33" t="s">
        <v>276</v>
      </c>
      <c r="D14" s="36" t="n">
        <v>62</v>
      </c>
      <c r="E14" s="9" t="str">
        <f aca="false">IF(A14="","",A14&amp;" | "&amp;B14&amp;" | "&amp;C14)</f>
        <v>Sr. Engineer II | G9 | India</v>
      </c>
      <c r="F14" s="2"/>
      <c r="G14" s="2"/>
      <c r="H14" s="2"/>
      <c r="I14" s="2"/>
      <c r="J14" s="2"/>
    </row>
    <row r="15" customFormat="false" ht="15" hidden="false" customHeight="false" outlineLevel="0" collapsed="false">
      <c r="A15" s="33" t="s">
        <v>288</v>
      </c>
      <c r="B15" s="33" t="s">
        <v>286</v>
      </c>
      <c r="C15" s="33" t="s">
        <v>276</v>
      </c>
      <c r="D15" s="36" t="n">
        <v>57.5</v>
      </c>
      <c r="E15" s="9" t="str">
        <f aca="false">IF(A15="","",A15&amp;" | "&amp;B15&amp;" | "&amp;C15)</f>
        <v>Sr. Engineer I | G9 | India</v>
      </c>
      <c r="F15" s="2"/>
      <c r="G15" s="2"/>
      <c r="H15" s="2"/>
      <c r="I15" s="2"/>
      <c r="J15" s="2"/>
    </row>
    <row r="16" customFormat="false" ht="15" hidden="false" customHeight="false" outlineLevel="0" collapsed="false">
      <c r="A16" s="33" t="s">
        <v>288</v>
      </c>
      <c r="B16" s="33" t="s">
        <v>289</v>
      </c>
      <c r="C16" s="33" t="s">
        <v>276</v>
      </c>
      <c r="D16" s="36" t="n">
        <v>57.5</v>
      </c>
      <c r="E16" s="9" t="str">
        <f aca="false">IF(A16="","",A16&amp;" | "&amp;B16&amp;" | "&amp;C16)</f>
        <v>Sr. Engineer I | G8 | India</v>
      </c>
      <c r="F16" s="2"/>
      <c r="G16" s="2"/>
      <c r="H16" s="2"/>
      <c r="I16" s="2"/>
      <c r="J16" s="2"/>
    </row>
    <row r="17" customFormat="false" ht="15" hidden="false" customHeight="false" outlineLevel="0" collapsed="false">
      <c r="A17" s="33" t="s">
        <v>290</v>
      </c>
      <c r="B17" s="33" t="s">
        <v>289</v>
      </c>
      <c r="C17" s="33" t="s">
        <v>276</v>
      </c>
      <c r="D17" s="36" t="n">
        <v>50</v>
      </c>
      <c r="E17" s="9" t="str">
        <f aca="false">IF(A17="","",A17&amp;" | "&amp;B17&amp;" | "&amp;C17)</f>
        <v>Engineer II | G8 | India</v>
      </c>
      <c r="F17" s="2"/>
      <c r="G17" s="2"/>
      <c r="H17" s="2"/>
      <c r="I17" s="2"/>
      <c r="J17" s="2"/>
    </row>
    <row r="18" customFormat="false" ht="15" hidden="false" customHeight="false" outlineLevel="0" collapsed="false">
      <c r="A18" s="33" t="s">
        <v>290</v>
      </c>
      <c r="B18" s="33" t="s">
        <v>291</v>
      </c>
      <c r="C18" s="33" t="s">
        <v>276</v>
      </c>
      <c r="D18" s="36" t="n">
        <v>50</v>
      </c>
      <c r="E18" s="9" t="str">
        <f aca="false">IF(A18="","",A18&amp;" | "&amp;B18&amp;" | "&amp;C18)</f>
        <v>Engineer II | G6 | India</v>
      </c>
      <c r="F18" s="2"/>
      <c r="G18" s="2"/>
      <c r="H18" s="2"/>
      <c r="I18" s="2"/>
      <c r="J18" s="2"/>
    </row>
    <row r="19" customFormat="false" ht="15" hidden="false" customHeight="false" outlineLevel="0" collapsed="false">
      <c r="A19" s="33" t="s">
        <v>292</v>
      </c>
      <c r="B19" s="33" t="s">
        <v>291</v>
      </c>
      <c r="C19" s="33" t="s">
        <v>276</v>
      </c>
      <c r="D19" s="36" t="n">
        <v>42</v>
      </c>
      <c r="E19" s="9" t="str">
        <f aca="false">IF(A19="","",A19&amp;" | "&amp;B19&amp;" | "&amp;C19)</f>
        <v>Engineer I | G6 | India</v>
      </c>
      <c r="F19" s="2"/>
      <c r="G19" s="2"/>
      <c r="H19" s="2"/>
      <c r="I19" s="2"/>
      <c r="J19" s="2"/>
    </row>
    <row r="20" customFormat="false" ht="15" hidden="false" customHeight="false" outlineLevel="0" collapsed="false">
      <c r="A20" s="33" t="s">
        <v>292</v>
      </c>
      <c r="B20" s="33" t="s">
        <v>293</v>
      </c>
      <c r="C20" s="33" t="s">
        <v>276</v>
      </c>
      <c r="D20" s="36" t="n">
        <v>42</v>
      </c>
      <c r="E20" s="9" t="str">
        <f aca="false">IF(A20="","",A20&amp;" | "&amp;B20&amp;" | "&amp;C20)</f>
        <v>Engineer I | G4 | India</v>
      </c>
      <c r="F20" s="2"/>
      <c r="G20" s="2"/>
      <c r="H20" s="2"/>
      <c r="I20" s="2"/>
      <c r="J20" s="2"/>
    </row>
    <row r="21" customFormat="false" ht="15" hidden="false" customHeight="false" outlineLevel="0" collapsed="false">
      <c r="A21" s="33" t="s">
        <v>294</v>
      </c>
      <c r="B21" s="33" t="s">
        <v>293</v>
      </c>
      <c r="C21" s="33" t="s">
        <v>276</v>
      </c>
      <c r="D21" s="36" t="n">
        <v>35</v>
      </c>
      <c r="E21" s="9" t="str">
        <f aca="false">IF(A21="","",A21&amp;" | "&amp;B21&amp;" | "&amp;C21)</f>
        <v>Jr. Engineer | G4 | India</v>
      </c>
      <c r="F21" s="2"/>
      <c r="G21" s="2"/>
      <c r="H21" s="2"/>
      <c r="I21" s="2"/>
      <c r="J21" s="2"/>
    </row>
    <row r="22" customFormat="false" ht="15" hidden="false" customHeight="false" outlineLevel="0" collapsed="false">
      <c r="A22" s="33" t="s">
        <v>280</v>
      </c>
      <c r="B22" s="33" t="s">
        <v>282</v>
      </c>
      <c r="C22" s="33" t="s">
        <v>276</v>
      </c>
      <c r="D22" s="36" t="n">
        <v>70</v>
      </c>
      <c r="E22" s="9" t="str">
        <f aca="false">IF(A22="","",A22&amp;" | "&amp;B22&amp;" | "&amp;C22)</f>
        <v>Architect II | G11 | India</v>
      </c>
      <c r="F22" s="2"/>
      <c r="G22" s="2"/>
      <c r="H22" s="2"/>
      <c r="I22" s="2"/>
      <c r="J22" s="2"/>
    </row>
    <row r="23" customFormat="false" ht="15" hidden="false" customHeight="false" outlineLevel="0" collapsed="false">
      <c r="A23" s="33" t="s">
        <v>295</v>
      </c>
      <c r="B23" s="33" t="s">
        <v>275</v>
      </c>
      <c r="C23" s="33" t="s">
        <v>276</v>
      </c>
      <c r="D23" s="36" t="n">
        <v>87</v>
      </c>
      <c r="E23" s="9" t="str">
        <f aca="false">IF(A23="","",A23&amp;" | "&amp;B23&amp;" | "&amp;C23)</f>
        <v>Sr. Architect I | G13 | India</v>
      </c>
      <c r="F23" s="2"/>
      <c r="G23" s="2"/>
      <c r="H23" s="2"/>
      <c r="I23" s="2"/>
      <c r="J23" s="2"/>
    </row>
    <row r="24" customFormat="false" ht="15" hidden="false" customHeight="false" outlineLevel="0" collapsed="false">
      <c r="A24" s="33" t="s">
        <v>296</v>
      </c>
      <c r="B24" s="33" t="s">
        <v>297</v>
      </c>
      <c r="C24" s="33" t="s">
        <v>276</v>
      </c>
      <c r="D24" s="36" t="n">
        <v>105</v>
      </c>
      <c r="E24" s="9" t="str">
        <f aca="false">IF(A24="","",A24&amp;" | "&amp;B24&amp;" | "&amp;C24)</f>
        <v>Sr. Architect II | G14 | India</v>
      </c>
      <c r="F24" s="2"/>
      <c r="G24" s="2"/>
      <c r="H24" s="2"/>
      <c r="I24" s="2"/>
      <c r="J24" s="2"/>
    </row>
    <row r="25" customFormat="false" ht="15" hidden="false" customHeight="false" outlineLevel="0" collapsed="false">
      <c r="A25" s="33" t="s">
        <v>296</v>
      </c>
      <c r="B25" s="33" t="s">
        <v>275</v>
      </c>
      <c r="C25" s="33" t="s">
        <v>276</v>
      </c>
      <c r="D25" s="36" t="n">
        <v>105</v>
      </c>
      <c r="E25" s="9" t="str">
        <f aca="false">IF(A25="","",A25&amp;" | "&amp;B25&amp;" | "&amp;C25)</f>
        <v>Sr. Architect II | G13 | India</v>
      </c>
      <c r="F25" s="2"/>
      <c r="G25" s="2"/>
      <c r="H25" s="2"/>
      <c r="I25" s="2"/>
      <c r="J25" s="2"/>
    </row>
    <row r="26" customFormat="false" ht="15" hidden="false" customHeight="false" outlineLevel="0" collapsed="false">
      <c r="A26" s="33" t="s">
        <v>280</v>
      </c>
      <c r="B26" s="33" t="s">
        <v>279</v>
      </c>
      <c r="C26" s="33" t="s">
        <v>298</v>
      </c>
      <c r="D26" s="36" t="n">
        <v>185</v>
      </c>
      <c r="E26" s="9" t="str">
        <f aca="false">IF(A26="","",A26&amp;" | "&amp;B26&amp;" | "&amp;C26)</f>
        <v>Architect II | G12 | USA</v>
      </c>
      <c r="F26" s="2"/>
      <c r="G26" s="2"/>
      <c r="H26" s="2"/>
      <c r="I26" s="2"/>
      <c r="J26" s="2"/>
    </row>
    <row r="27" customFormat="false" ht="15" hidden="false" customHeight="false" outlineLevel="0" collapsed="false">
      <c r="A27" s="33" t="s">
        <v>278</v>
      </c>
      <c r="B27" s="33" t="s">
        <v>279</v>
      </c>
      <c r="C27" s="33" t="s">
        <v>298</v>
      </c>
      <c r="D27" s="36" t="n">
        <v>190</v>
      </c>
      <c r="E27" s="9" t="str">
        <f aca="false">IF(A27="","",A27&amp;" | "&amp;B27&amp;" | "&amp;C27)</f>
        <v>MSE I | G12 | USA</v>
      </c>
      <c r="F27" s="2"/>
      <c r="G27" s="2"/>
      <c r="H27" s="2"/>
      <c r="I27" s="2"/>
      <c r="J27" s="2"/>
    </row>
    <row r="28" customFormat="false" ht="15" hidden="false" customHeight="false" outlineLevel="0" collapsed="false">
      <c r="A28" s="33" t="s">
        <v>274</v>
      </c>
      <c r="B28" s="33" t="s">
        <v>275</v>
      </c>
      <c r="C28" s="33" t="s">
        <v>298</v>
      </c>
      <c r="D28" s="36" t="n">
        <v>210</v>
      </c>
      <c r="E28" s="9" t="str">
        <f aca="false">IF(A28="","",A28&amp;" | "&amp;B28&amp;" | "&amp;C28)</f>
        <v>MSE II | G13 | USA</v>
      </c>
      <c r="F28" s="2"/>
      <c r="G28" s="2"/>
      <c r="H28" s="2"/>
      <c r="I28" s="2"/>
      <c r="J28" s="2"/>
    </row>
    <row r="29" customFormat="false" ht="15" hidden="false" customHeight="false" outlineLevel="0" collapsed="false">
      <c r="A29" s="33"/>
      <c r="B29" s="33"/>
      <c r="C29" s="33"/>
      <c r="D29" s="36"/>
      <c r="E29" s="9" t="str">
        <f aca="false">IF(A29="","",A29&amp;" | "&amp;B29&amp;" | "&amp;C29)</f>
        <v/>
      </c>
      <c r="F29" s="2"/>
      <c r="G29" s="2"/>
      <c r="H29" s="2"/>
      <c r="I29" s="2"/>
      <c r="J29" s="2"/>
    </row>
    <row r="30" customFormat="false" ht="15" hidden="false" customHeight="false" outlineLevel="0" collapsed="false">
      <c r="A30" s="33"/>
      <c r="B30" s="33"/>
      <c r="C30" s="33"/>
      <c r="D30" s="36"/>
      <c r="E30" s="9" t="str">
        <f aca="false">IF(A30="","",A30&amp;" | "&amp;B30&amp;" | "&amp;C30)</f>
        <v/>
      </c>
      <c r="F30" s="2"/>
      <c r="G30" s="2"/>
      <c r="H30" s="2"/>
      <c r="I30" s="2"/>
      <c r="J30" s="2"/>
    </row>
    <row r="31" customFormat="false" ht="15" hidden="false" customHeight="false" outlineLevel="0" collapsed="false">
      <c r="A31" s="33"/>
      <c r="B31" s="33"/>
      <c r="C31" s="33"/>
      <c r="D31" s="36"/>
      <c r="E31" s="9" t="str">
        <f aca="false">IF(A31="","",A31&amp;" | "&amp;B31&amp;" | "&amp;C31)</f>
        <v/>
      </c>
      <c r="F31" s="2"/>
      <c r="G31" s="2"/>
      <c r="H31" s="2"/>
      <c r="I31" s="2"/>
      <c r="J31" s="2"/>
    </row>
    <row r="32" customFormat="false" ht="15" hidden="false" customHeight="false" outlineLevel="0" collapsed="false">
      <c r="A32" s="33"/>
      <c r="B32" s="33"/>
      <c r="C32" s="33"/>
      <c r="D32" s="36"/>
      <c r="E32" s="9" t="str">
        <f aca="false">IF(A32="","",A32&amp;" | "&amp;B32&amp;" | "&amp;C32)</f>
        <v/>
      </c>
      <c r="F32" s="2"/>
      <c r="G32" s="2"/>
      <c r="H32" s="2"/>
      <c r="I32" s="2"/>
      <c r="J32" s="2"/>
    </row>
    <row r="33" customFormat="false" ht="15" hidden="false" customHeight="false" outlineLevel="0" collapsed="false">
      <c r="A33" s="33"/>
      <c r="B33" s="33"/>
      <c r="C33" s="33"/>
      <c r="D33" s="36"/>
      <c r="E33" s="9" t="str">
        <f aca="false">IF(A33="","",A33&amp;" | "&amp;B33&amp;" | "&amp;C33)</f>
        <v/>
      </c>
      <c r="F33" s="2"/>
      <c r="G33" s="2"/>
      <c r="H33" s="2"/>
      <c r="I33" s="2"/>
      <c r="J33" s="2"/>
    </row>
    <row r="34" customFormat="false" ht="15" hidden="false" customHeight="false" outlineLevel="0" collapsed="false">
      <c r="A34" s="33"/>
      <c r="B34" s="33"/>
      <c r="C34" s="33"/>
      <c r="D34" s="36"/>
      <c r="E34" s="9" t="str">
        <f aca="false">IF(A34="","",A34&amp;" | "&amp;B34&amp;" | "&amp;C34)</f>
        <v/>
      </c>
      <c r="F34" s="2"/>
      <c r="G34" s="2"/>
      <c r="H34" s="2"/>
      <c r="I34" s="2"/>
      <c r="J34" s="2"/>
    </row>
    <row r="35" customFormat="false" ht="15" hidden="false" customHeight="false" outlineLevel="0" collapsed="false">
      <c r="A35" s="33"/>
      <c r="B35" s="33"/>
      <c r="C35" s="33"/>
      <c r="D35" s="36"/>
      <c r="E35" s="9" t="str">
        <f aca="false">IF(A35="","",A35&amp;" | "&amp;B35&amp;" | "&amp;C35)</f>
        <v/>
      </c>
      <c r="F35" s="2"/>
      <c r="G35" s="2"/>
      <c r="H35" s="2"/>
      <c r="I35" s="2"/>
      <c r="J35" s="2"/>
    </row>
    <row r="36" customFormat="false" ht="15" hidden="false" customHeight="false" outlineLevel="0" collapsed="false">
      <c r="A36" s="33"/>
      <c r="B36" s="33"/>
      <c r="C36" s="33"/>
      <c r="D36" s="36"/>
      <c r="E36" s="9" t="str">
        <f aca="false">IF(A36="","",A36&amp;" | "&amp;B36&amp;" | "&amp;C36)</f>
        <v/>
      </c>
      <c r="F36" s="2"/>
      <c r="G36" s="2"/>
      <c r="H36" s="2"/>
      <c r="I36" s="2"/>
      <c r="J36" s="2"/>
    </row>
    <row r="37" customFormat="false" ht="15" hidden="false" customHeight="false" outlineLevel="0" collapsed="false">
      <c r="A37" s="33"/>
      <c r="B37" s="33"/>
      <c r="C37" s="33"/>
      <c r="D37" s="36"/>
      <c r="E37" s="9" t="str">
        <f aca="false">IF(A37="","",A37&amp;" | "&amp;B37&amp;" | "&amp;C37)</f>
        <v/>
      </c>
      <c r="F37" s="2"/>
      <c r="G37" s="2"/>
      <c r="H37" s="2"/>
      <c r="I37" s="2"/>
      <c r="J37" s="2"/>
    </row>
    <row r="38" customFormat="false" ht="15" hidden="false" customHeight="false" outlineLevel="0" collapsed="false">
      <c r="A38" s="33"/>
      <c r="B38" s="33"/>
      <c r="C38" s="33"/>
      <c r="D38" s="36"/>
      <c r="E38" s="9" t="str">
        <f aca="false">IF(A38="","",A38&amp;" | "&amp;B38&amp;" | "&amp;C38)</f>
        <v/>
      </c>
      <c r="F38" s="2"/>
      <c r="G38" s="2"/>
      <c r="H38" s="2"/>
      <c r="I38" s="2"/>
      <c r="J38" s="2"/>
    </row>
  </sheetData>
  <sheetProtection sheet="true" formatColumns="false" formatRows="false"/>
  <mergeCells count="1">
    <mergeCell ref="G5:J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4" min="4" style="0" width="30"/>
    <col collapsed="false" customWidth="true" hidden="false" outlineLevel="0" max="6" min="6" style="0" width="30"/>
    <col collapsed="false" customWidth="true" hidden="false" outlineLevel="0" max="10" min="7" style="0" width="18"/>
    <col collapsed="false" customWidth="true" hidden="false" outlineLevel="0" max="12" min="12" style="0" width="22"/>
    <col collapsed="false" customWidth="true" hidden="false" outlineLevel="0" max="13" min="13" style="0" width="18"/>
    <col collapsed="false" customWidth="true" hidden="false" outlineLevel="0" max="14" min="14" style="0" width="9"/>
    <col collapsed="false" customWidth="true" hidden="false" outlineLevel="0" max="15" min="15" style="0" width="30"/>
    <col collapsed="false" customWidth="true" hidden="false" outlineLevel="0" max="17" min="17" style="0" width="20"/>
    <col collapsed="false" customWidth="true" hidden="false" outlineLevel="0" max="19" min="19" style="0" width="8"/>
    <col collapsed="false" customWidth="true" hidden="false" outlineLevel="0" max="21" min="20" style="0" width="30"/>
    <col collapsed="false" customWidth="true" hidden="false" outlineLevel="0" max="22" min="22" style="0" width="12"/>
    <col collapsed="false" customWidth="true" hidden="false" outlineLevel="0" max="23" min="23" style="0" width="10"/>
  </cols>
  <sheetData>
    <row r="1" customFormat="false" ht="19.7" hidden="false" customHeight="false" outlineLevel="0" collapsed="false">
      <c r="A1" s="1" t="s">
        <v>37</v>
      </c>
      <c r="B1" s="2"/>
      <c r="C1" s="2"/>
      <c r="D1" s="2"/>
      <c r="E1" s="2"/>
      <c r="F1" s="2"/>
      <c r="G1" s="2"/>
      <c r="H1" s="2"/>
      <c r="I1" s="2"/>
      <c r="J1" s="2"/>
      <c r="K1" s="2"/>
      <c r="L1" s="2"/>
      <c r="M1" s="2"/>
      <c r="N1" s="2"/>
      <c r="O1" s="2"/>
      <c r="P1" s="2"/>
      <c r="Q1" s="2"/>
      <c r="R1" s="2"/>
      <c r="S1" s="2"/>
      <c r="T1" s="2"/>
      <c r="U1" s="2"/>
      <c r="V1" s="2"/>
      <c r="W1" s="2"/>
    </row>
    <row r="2" customFormat="false" ht="15" hidden="false" customHeight="false" outlineLevel="0" collapsed="false">
      <c r="A2" s="3" t="s">
        <v>299</v>
      </c>
      <c r="B2" s="2"/>
      <c r="C2" s="2"/>
      <c r="D2" s="2"/>
      <c r="E2" s="2"/>
      <c r="F2" s="2"/>
      <c r="G2" s="2"/>
      <c r="H2" s="2"/>
      <c r="I2" s="2"/>
      <c r="J2" s="2"/>
      <c r="K2" s="2"/>
      <c r="L2" s="2"/>
      <c r="M2" s="2"/>
      <c r="N2" s="2"/>
      <c r="O2" s="2"/>
      <c r="P2" s="2"/>
      <c r="Q2" s="2"/>
      <c r="R2" s="2"/>
      <c r="S2" s="2"/>
      <c r="T2" s="2"/>
      <c r="U2" s="2"/>
      <c r="V2" s="2"/>
      <c r="W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row>
    <row r="4" customFormat="false" ht="15" hidden="false" customHeight="false" outlineLevel="0" collapsed="false">
      <c r="A4" s="19" t="s">
        <v>300</v>
      </c>
      <c r="B4" s="20"/>
      <c r="C4" s="2"/>
      <c r="D4" s="19" t="s">
        <v>301</v>
      </c>
      <c r="E4" s="2"/>
      <c r="F4" s="19" t="s">
        <v>302</v>
      </c>
      <c r="G4" s="20"/>
      <c r="H4" s="20"/>
      <c r="I4" s="20"/>
      <c r="J4" s="20"/>
      <c r="K4" s="2"/>
      <c r="L4" s="19" t="s">
        <v>303</v>
      </c>
      <c r="M4" s="20"/>
      <c r="N4" s="20"/>
      <c r="O4" s="20"/>
      <c r="P4" s="2"/>
      <c r="Q4" s="19" t="s">
        <v>304</v>
      </c>
      <c r="R4" s="2"/>
      <c r="S4" s="2"/>
      <c r="T4" s="2"/>
      <c r="U4" s="2"/>
      <c r="V4" s="2"/>
      <c r="W4" s="2"/>
    </row>
    <row r="5" customFormat="false" ht="30" hidden="false" customHeight="true" outlineLevel="0" collapsed="false">
      <c r="A5" s="21" t="s">
        <v>305</v>
      </c>
      <c r="B5" s="21" t="s">
        <v>306</v>
      </c>
      <c r="C5" s="2"/>
      <c r="D5" s="21" t="s">
        <v>306</v>
      </c>
      <c r="E5" s="2"/>
      <c r="F5" s="21" t="s">
        <v>307</v>
      </c>
      <c r="G5" s="21" t="s">
        <v>308</v>
      </c>
      <c r="H5" s="21" t="s">
        <v>309</v>
      </c>
      <c r="I5" s="21" t="s">
        <v>310</v>
      </c>
      <c r="J5" s="21" t="s">
        <v>311</v>
      </c>
      <c r="K5" s="2"/>
      <c r="L5" s="21" t="s">
        <v>190</v>
      </c>
      <c r="M5" s="21" t="s">
        <v>191</v>
      </c>
      <c r="N5" s="21" t="s">
        <v>312</v>
      </c>
      <c r="O5" s="21" t="s">
        <v>273</v>
      </c>
      <c r="P5" s="2"/>
      <c r="Q5" s="21" t="s">
        <v>313</v>
      </c>
      <c r="R5" s="2"/>
      <c r="S5" s="21" t="s">
        <v>314</v>
      </c>
      <c r="T5" s="21" t="s">
        <v>315</v>
      </c>
      <c r="U5" s="21" t="s">
        <v>316</v>
      </c>
      <c r="V5" s="21" t="s">
        <v>317</v>
      </c>
      <c r="W5" s="21" t="s">
        <v>318</v>
      </c>
    </row>
    <row r="6" customFormat="false" ht="15" hidden="false" customHeight="false" outlineLevel="0" collapsed="false">
      <c r="A6" s="33" t="s">
        <v>319</v>
      </c>
      <c r="B6" s="33" t="s">
        <v>308</v>
      </c>
      <c r="C6" s="2"/>
      <c r="D6" s="45" t="s">
        <v>308</v>
      </c>
      <c r="E6" s="2"/>
      <c r="F6" s="26" t="s">
        <v>308</v>
      </c>
      <c r="G6" s="46" t="n">
        <v>1.1</v>
      </c>
      <c r="H6" s="46" t="n">
        <v>1</v>
      </c>
      <c r="I6" s="46" t="n">
        <v>1.1</v>
      </c>
      <c r="J6" s="46" t="n">
        <v>1.2</v>
      </c>
      <c r="K6" s="2"/>
      <c r="L6" s="33" t="s">
        <v>223</v>
      </c>
      <c r="M6" s="33" t="s">
        <v>224</v>
      </c>
      <c r="N6" s="46" t="n">
        <v>1</v>
      </c>
      <c r="O6" s="9" t="str">
        <f aca="false">IF(L6="","",L6&amp;"|"&amp;M6)</f>
        <v>OBIEE|Power BI</v>
      </c>
      <c r="P6" s="2"/>
      <c r="Q6" s="33" t="s">
        <v>225</v>
      </c>
      <c r="R6" s="2"/>
      <c r="S6" s="45" t="s">
        <v>155</v>
      </c>
      <c r="T6" s="45" t="s">
        <v>128</v>
      </c>
      <c r="U6" s="45" t="s">
        <v>130</v>
      </c>
      <c r="V6" s="45" t="s">
        <v>167</v>
      </c>
      <c r="W6" s="45" t="n">
        <v>1</v>
      </c>
    </row>
    <row r="7" customFormat="false" ht="15" hidden="false" customHeight="false" outlineLevel="0" collapsed="false">
      <c r="A7" s="33" t="s">
        <v>223</v>
      </c>
      <c r="B7" s="33" t="s">
        <v>308</v>
      </c>
      <c r="C7" s="2"/>
      <c r="D7" s="45" t="s">
        <v>309</v>
      </c>
      <c r="E7" s="2"/>
      <c r="F7" s="26" t="s">
        <v>309</v>
      </c>
      <c r="G7" s="46" t="n">
        <v>1</v>
      </c>
      <c r="H7" s="46" t="n">
        <v>0.9</v>
      </c>
      <c r="I7" s="46" t="n">
        <v>1.05</v>
      </c>
      <c r="J7" s="46" t="n">
        <v>1.2</v>
      </c>
      <c r="K7" s="2"/>
      <c r="L7" s="33" t="s">
        <v>320</v>
      </c>
      <c r="M7" s="33" t="s">
        <v>224</v>
      </c>
      <c r="N7" s="46" t="n">
        <v>1.1</v>
      </c>
      <c r="O7" s="9" t="str">
        <f aca="false">IF(L7="","",L7&amp;"|"&amp;M7)</f>
        <v>Cognos|Power BI</v>
      </c>
      <c r="P7" s="2"/>
      <c r="Q7" s="33" t="s">
        <v>321</v>
      </c>
      <c r="R7" s="2"/>
      <c r="S7" s="45" t="s">
        <v>322</v>
      </c>
      <c r="T7" s="45" t="s">
        <v>323</v>
      </c>
      <c r="U7" s="45" t="s">
        <v>324</v>
      </c>
      <c r="V7" s="45" t="s">
        <v>325</v>
      </c>
      <c r="W7" s="45" t="n">
        <v>2</v>
      </c>
    </row>
    <row r="8" customFormat="false" ht="15" hidden="false" customHeight="false" outlineLevel="0" collapsed="false">
      <c r="A8" s="33" t="s">
        <v>326</v>
      </c>
      <c r="B8" s="33" t="s">
        <v>308</v>
      </c>
      <c r="C8" s="2"/>
      <c r="D8" s="45" t="s">
        <v>310</v>
      </c>
      <c r="E8" s="2"/>
      <c r="F8" s="26" t="s">
        <v>310</v>
      </c>
      <c r="G8" s="46" t="n">
        <v>1.1</v>
      </c>
      <c r="H8" s="46" t="n">
        <v>1</v>
      </c>
      <c r="I8" s="46" t="n">
        <v>0.95</v>
      </c>
      <c r="J8" s="46" t="n">
        <v>1.1</v>
      </c>
      <c r="K8" s="2"/>
      <c r="L8" s="33" t="s">
        <v>319</v>
      </c>
      <c r="M8" s="33" t="s">
        <v>224</v>
      </c>
      <c r="N8" s="46" t="n">
        <v>1.25</v>
      </c>
      <c r="O8" s="9" t="str">
        <f aca="false">IF(L8="","",L8&amp;"|"&amp;M8)</f>
        <v>SAP BusinessObjects|Power BI</v>
      </c>
      <c r="P8" s="2"/>
      <c r="Q8" s="33" t="s">
        <v>327</v>
      </c>
      <c r="R8" s="2"/>
      <c r="S8" s="2"/>
      <c r="T8" s="2"/>
      <c r="U8" s="2"/>
      <c r="V8" s="2"/>
      <c r="W8" s="2"/>
    </row>
    <row r="9" customFormat="false" ht="15" hidden="false" customHeight="false" outlineLevel="0" collapsed="false">
      <c r="A9" s="33" t="s">
        <v>328</v>
      </c>
      <c r="B9" s="33" t="s">
        <v>308</v>
      </c>
      <c r="C9" s="2"/>
      <c r="D9" s="45" t="s">
        <v>311</v>
      </c>
      <c r="E9" s="2"/>
      <c r="F9" s="26" t="s">
        <v>311</v>
      </c>
      <c r="G9" s="46" t="n">
        <v>1</v>
      </c>
      <c r="H9" s="46" t="n">
        <v>1</v>
      </c>
      <c r="I9" s="46" t="n">
        <v>1</v>
      </c>
      <c r="J9" s="46" t="n">
        <v>1</v>
      </c>
      <c r="K9" s="2"/>
      <c r="L9" s="33" t="s">
        <v>232</v>
      </c>
      <c r="M9" s="33" t="s">
        <v>224</v>
      </c>
      <c r="N9" s="46" t="n">
        <v>0.95</v>
      </c>
      <c r="O9" s="9" t="str">
        <f aca="false">IF(L9="","",L9&amp;"|"&amp;M9)</f>
        <v>Tableau|Power BI</v>
      </c>
      <c r="P9" s="2"/>
      <c r="Q9" s="33" t="s">
        <v>329</v>
      </c>
      <c r="R9" s="2"/>
      <c r="S9" s="2"/>
      <c r="T9" s="2"/>
      <c r="U9" s="2"/>
      <c r="V9" s="2"/>
      <c r="W9" s="2"/>
    </row>
    <row r="10" customFormat="false" ht="15" hidden="false" customHeight="false" outlineLevel="0" collapsed="false">
      <c r="A10" s="33" t="s">
        <v>320</v>
      </c>
      <c r="B10" s="33" t="s">
        <v>308</v>
      </c>
      <c r="C10" s="2"/>
      <c r="D10" s="2"/>
      <c r="E10" s="2"/>
      <c r="F10" s="2"/>
      <c r="G10" s="2"/>
      <c r="H10" s="2"/>
      <c r="I10" s="2"/>
      <c r="J10" s="2"/>
      <c r="K10" s="2"/>
      <c r="L10" s="33" t="s">
        <v>330</v>
      </c>
      <c r="M10" s="33" t="s">
        <v>224</v>
      </c>
      <c r="N10" s="46" t="n">
        <v>1.05</v>
      </c>
      <c r="O10" s="9" t="str">
        <f aca="false">IF(L10="","",L10&amp;"|"&amp;M10)</f>
        <v>SSRS|Power BI</v>
      </c>
      <c r="P10" s="2"/>
      <c r="Q10" s="33" t="s">
        <v>331</v>
      </c>
      <c r="R10" s="2"/>
      <c r="S10" s="2"/>
      <c r="T10" s="2"/>
      <c r="U10" s="2"/>
      <c r="V10" s="2"/>
      <c r="W10" s="2"/>
    </row>
    <row r="11" customFormat="false" ht="15" hidden="false" customHeight="false" outlineLevel="0" collapsed="false">
      <c r="A11" s="33" t="s">
        <v>330</v>
      </c>
      <c r="B11" s="33" t="s">
        <v>309</v>
      </c>
      <c r="C11" s="2"/>
      <c r="D11" s="2"/>
      <c r="E11" s="2"/>
      <c r="F11" s="2"/>
      <c r="G11" s="2"/>
      <c r="H11" s="2"/>
      <c r="I11" s="2"/>
      <c r="J11" s="2"/>
      <c r="K11" s="2"/>
      <c r="L11" s="33" t="s">
        <v>223</v>
      </c>
      <c r="M11" s="33" t="s">
        <v>332</v>
      </c>
      <c r="N11" s="46" t="n">
        <v>1.2</v>
      </c>
      <c r="O11" s="9" t="str">
        <f aca="false">IF(L11="","",L11&amp;"|"&amp;M11)</f>
        <v>OBIEE|QuickSight</v>
      </c>
      <c r="P11" s="2"/>
      <c r="Q11" s="33" t="s">
        <v>333</v>
      </c>
      <c r="R11" s="2"/>
      <c r="S11" s="2"/>
      <c r="T11" s="2"/>
      <c r="U11" s="2"/>
      <c r="V11" s="2"/>
      <c r="W11" s="2"/>
    </row>
    <row r="12" customFormat="false" ht="15" hidden="false" customHeight="false" outlineLevel="0" collapsed="false">
      <c r="A12" s="33" t="s">
        <v>334</v>
      </c>
      <c r="B12" s="33" t="s">
        <v>309</v>
      </c>
      <c r="C12" s="2"/>
      <c r="D12" s="2"/>
      <c r="E12" s="2"/>
      <c r="F12" s="19" t="s">
        <v>335</v>
      </c>
      <c r="G12" s="20"/>
      <c r="H12" s="20"/>
      <c r="I12" s="20"/>
      <c r="J12" s="20"/>
      <c r="K12" s="2"/>
      <c r="L12" s="33" t="s">
        <v>320</v>
      </c>
      <c r="M12" s="33" t="s">
        <v>332</v>
      </c>
      <c r="N12" s="46" t="n">
        <v>1.25</v>
      </c>
      <c r="O12" s="9" t="str">
        <f aca="false">IF(L12="","",L12&amp;"|"&amp;M12)</f>
        <v>Cognos|QuickSight</v>
      </c>
      <c r="P12" s="2"/>
      <c r="Q12" s="33" t="s">
        <v>226</v>
      </c>
      <c r="R12" s="2"/>
      <c r="S12" s="2"/>
      <c r="T12" s="2"/>
      <c r="U12" s="2"/>
      <c r="V12" s="2"/>
      <c r="W12" s="2"/>
    </row>
    <row r="13" customFormat="false" ht="45" hidden="false" customHeight="true" outlineLevel="0" collapsed="false">
      <c r="A13" s="33" t="s">
        <v>232</v>
      </c>
      <c r="B13" s="33" t="s">
        <v>310</v>
      </c>
      <c r="C13" s="2"/>
      <c r="D13" s="2"/>
      <c r="E13" s="2"/>
      <c r="F13" s="21" t="s">
        <v>307</v>
      </c>
      <c r="G13" s="21" t="s">
        <v>308</v>
      </c>
      <c r="H13" s="21" t="s">
        <v>309</v>
      </c>
      <c r="I13" s="21" t="s">
        <v>310</v>
      </c>
      <c r="J13" s="21" t="s">
        <v>311</v>
      </c>
      <c r="K13" s="2"/>
      <c r="L13" s="33" t="s">
        <v>232</v>
      </c>
      <c r="M13" s="33" t="s">
        <v>332</v>
      </c>
      <c r="N13" s="46" t="n">
        <v>1.1</v>
      </c>
      <c r="O13" s="9" t="str">
        <f aca="false">IF(L13="","",L13&amp;"|"&amp;M13)</f>
        <v>Tableau|QuickSight</v>
      </c>
      <c r="P13" s="2"/>
      <c r="Q13" s="33" t="s">
        <v>336</v>
      </c>
      <c r="R13" s="2"/>
      <c r="S13" s="2"/>
      <c r="T13" s="2"/>
      <c r="U13" s="2"/>
      <c r="V13" s="2"/>
      <c r="W13" s="2"/>
    </row>
    <row r="14" customFormat="false" ht="15" hidden="false" customHeight="false" outlineLevel="0" collapsed="false">
      <c r="A14" s="33" t="s">
        <v>224</v>
      </c>
      <c r="B14" s="33" t="s">
        <v>310</v>
      </c>
      <c r="C14" s="2"/>
      <c r="D14" s="2"/>
      <c r="E14" s="2"/>
      <c r="F14" s="26" t="s">
        <v>308</v>
      </c>
      <c r="G14" s="33" t="s">
        <v>337</v>
      </c>
      <c r="H14" s="33" t="s">
        <v>337</v>
      </c>
      <c r="I14" s="33" t="s">
        <v>337</v>
      </c>
      <c r="J14" s="33" t="s">
        <v>338</v>
      </c>
      <c r="K14" s="2"/>
      <c r="L14" s="33" t="s">
        <v>330</v>
      </c>
      <c r="M14" s="33" t="s">
        <v>332</v>
      </c>
      <c r="N14" s="46" t="n">
        <v>1.2</v>
      </c>
      <c r="O14" s="9" t="str">
        <f aca="false">IF(L14="","",L14&amp;"|"&amp;M14)</f>
        <v>SSRS|QuickSight</v>
      </c>
      <c r="P14" s="2"/>
      <c r="Q14" s="33" t="s">
        <v>339</v>
      </c>
      <c r="R14" s="2"/>
      <c r="S14" s="2"/>
      <c r="T14" s="2"/>
      <c r="U14" s="2"/>
      <c r="V14" s="2"/>
      <c r="W14" s="2"/>
    </row>
    <row r="15" customFormat="false" ht="15" hidden="false" customHeight="false" outlineLevel="0" collapsed="false">
      <c r="A15" s="33" t="s">
        <v>332</v>
      </c>
      <c r="B15" s="33" t="s">
        <v>310</v>
      </c>
      <c r="C15" s="2"/>
      <c r="D15" s="2"/>
      <c r="E15" s="2"/>
      <c r="F15" s="26" t="s">
        <v>309</v>
      </c>
      <c r="G15" s="33" t="s">
        <v>340</v>
      </c>
      <c r="H15" s="33" t="s">
        <v>340</v>
      </c>
      <c r="I15" s="33" t="s">
        <v>340</v>
      </c>
      <c r="J15" s="33" t="s">
        <v>338</v>
      </c>
      <c r="K15" s="2"/>
      <c r="L15" s="33" t="s">
        <v>319</v>
      </c>
      <c r="M15" s="33" t="s">
        <v>332</v>
      </c>
      <c r="N15" s="46" t="n">
        <v>1.3</v>
      </c>
      <c r="O15" s="9" t="str">
        <f aca="false">IF(L15="","",L15&amp;"|"&amp;M15)</f>
        <v>SAP BusinessObjects|QuickSight</v>
      </c>
      <c r="P15" s="2"/>
      <c r="Q15" s="33" t="s">
        <v>233</v>
      </c>
      <c r="R15" s="2"/>
      <c r="S15" s="2"/>
      <c r="T15" s="2"/>
      <c r="U15" s="2"/>
      <c r="V15" s="2"/>
      <c r="W15" s="2"/>
    </row>
    <row r="16" customFormat="false" ht="15" hidden="false" customHeight="false" outlineLevel="0" collapsed="false">
      <c r="A16" s="33" t="s">
        <v>341</v>
      </c>
      <c r="B16" s="33" t="s">
        <v>310</v>
      </c>
      <c r="C16" s="2"/>
      <c r="D16" s="2"/>
      <c r="E16" s="2"/>
      <c r="F16" s="26" t="s">
        <v>310</v>
      </c>
      <c r="G16" s="33" t="s">
        <v>337</v>
      </c>
      <c r="H16" s="33" t="s">
        <v>340</v>
      </c>
      <c r="I16" s="33" t="s">
        <v>342</v>
      </c>
      <c r="J16" s="33" t="s">
        <v>338</v>
      </c>
      <c r="K16" s="2"/>
      <c r="L16" s="33" t="s">
        <v>320</v>
      </c>
      <c r="M16" s="33" t="s">
        <v>343</v>
      </c>
      <c r="N16" s="46" t="n">
        <v>1.25</v>
      </c>
      <c r="O16" s="9" t="str">
        <f aca="false">IF(L16="","",L16&amp;"|"&amp;M16)</f>
        <v>Cognos|Looker</v>
      </c>
      <c r="P16" s="2"/>
      <c r="Q16" s="33" t="s">
        <v>344</v>
      </c>
      <c r="R16" s="2"/>
      <c r="S16" s="2"/>
      <c r="T16" s="2"/>
      <c r="U16" s="2"/>
      <c r="V16" s="2"/>
      <c r="W16" s="2"/>
    </row>
    <row r="17" customFormat="false" ht="15" hidden="false" customHeight="false" outlineLevel="0" collapsed="false">
      <c r="A17" s="33" t="s">
        <v>345</v>
      </c>
      <c r="B17" s="33" t="s">
        <v>310</v>
      </c>
      <c r="C17" s="2"/>
      <c r="D17" s="2"/>
      <c r="E17" s="2"/>
      <c r="F17" s="26" t="s">
        <v>311</v>
      </c>
      <c r="G17" s="33" t="s">
        <v>342</v>
      </c>
      <c r="H17" s="33" t="s">
        <v>340</v>
      </c>
      <c r="I17" s="33" t="s">
        <v>342</v>
      </c>
      <c r="J17" s="33" t="s">
        <v>342</v>
      </c>
      <c r="K17" s="2"/>
      <c r="L17" s="33" t="s">
        <v>223</v>
      </c>
      <c r="M17" s="33" t="s">
        <v>343</v>
      </c>
      <c r="N17" s="46" t="n">
        <v>1.2</v>
      </c>
      <c r="O17" s="9" t="str">
        <f aca="false">IF(L17="","",L17&amp;"|"&amp;M17)</f>
        <v>OBIEE|Looker</v>
      </c>
      <c r="P17" s="2"/>
      <c r="Q17" s="33" t="s">
        <v>346</v>
      </c>
      <c r="R17" s="2"/>
      <c r="S17" s="2"/>
      <c r="T17" s="2"/>
      <c r="U17" s="2"/>
      <c r="V17" s="2"/>
      <c r="W17" s="2"/>
    </row>
    <row r="18" customFormat="false" ht="15" hidden="false" customHeight="false" outlineLevel="0" collapsed="false">
      <c r="A18" s="33" t="s">
        <v>347</v>
      </c>
      <c r="B18" s="33" t="s">
        <v>310</v>
      </c>
      <c r="C18" s="2"/>
      <c r="D18" s="2"/>
      <c r="E18" s="2"/>
      <c r="F18" s="2"/>
      <c r="G18" s="2"/>
      <c r="H18" s="2"/>
      <c r="I18" s="2"/>
      <c r="J18" s="2"/>
      <c r="K18" s="2"/>
      <c r="L18" s="33" t="s">
        <v>232</v>
      </c>
      <c r="M18" s="33" t="s">
        <v>343</v>
      </c>
      <c r="N18" s="46" t="n">
        <v>1.1</v>
      </c>
      <c r="O18" s="9" t="str">
        <f aca="false">IF(L18="","",L18&amp;"|"&amp;M18)</f>
        <v>Tableau|Looker</v>
      </c>
      <c r="P18" s="2"/>
      <c r="Q18" s="33" t="s">
        <v>348</v>
      </c>
      <c r="R18" s="2"/>
      <c r="S18" s="2"/>
      <c r="T18" s="2"/>
      <c r="U18" s="2"/>
      <c r="V18" s="2"/>
      <c r="W18" s="2"/>
    </row>
    <row r="19" customFormat="false" ht="15" hidden="false" customHeight="false" outlineLevel="0" collapsed="false">
      <c r="A19" s="33" t="s">
        <v>343</v>
      </c>
      <c r="B19" s="33" t="s">
        <v>311</v>
      </c>
      <c r="C19" s="2"/>
      <c r="D19" s="2"/>
      <c r="E19" s="2"/>
      <c r="F19" s="2"/>
      <c r="G19" s="2"/>
      <c r="H19" s="2"/>
      <c r="I19" s="2"/>
      <c r="J19" s="2"/>
      <c r="K19" s="2"/>
      <c r="L19" s="33" t="s">
        <v>330</v>
      </c>
      <c r="M19" s="33" t="s">
        <v>343</v>
      </c>
      <c r="N19" s="46" t="n">
        <v>1.2</v>
      </c>
      <c r="O19" s="9" t="str">
        <f aca="false">IF(L19="","",L19&amp;"|"&amp;M19)</f>
        <v>SSRS|Looker</v>
      </c>
      <c r="P19" s="2"/>
      <c r="Q19" s="33" t="s">
        <v>349</v>
      </c>
      <c r="R19" s="2"/>
      <c r="S19" s="2"/>
      <c r="T19" s="2"/>
      <c r="U19" s="2"/>
      <c r="V19" s="2"/>
      <c r="W19" s="2"/>
    </row>
    <row r="20" customFormat="false" ht="15" hidden="false" customHeight="false" outlineLevel="0" collapsed="false">
      <c r="A20" s="33"/>
      <c r="B20" s="33"/>
      <c r="C20" s="2"/>
      <c r="D20" s="2"/>
      <c r="E20" s="2"/>
      <c r="F20" s="2"/>
      <c r="G20" s="2"/>
      <c r="H20" s="2"/>
      <c r="I20" s="2"/>
      <c r="J20" s="2"/>
      <c r="K20" s="2"/>
      <c r="L20" s="33" t="s">
        <v>319</v>
      </c>
      <c r="M20" s="33" t="s">
        <v>343</v>
      </c>
      <c r="N20" s="46" t="n">
        <v>1.3</v>
      </c>
      <c r="O20" s="9" t="str">
        <f aca="false">IF(L20="","",L20&amp;"|"&amp;M20)</f>
        <v>SAP BusinessObjects|Looker</v>
      </c>
      <c r="P20" s="2"/>
      <c r="Q20" s="33"/>
      <c r="R20" s="2"/>
      <c r="S20" s="2"/>
      <c r="T20" s="2"/>
      <c r="U20" s="2"/>
      <c r="V20" s="2"/>
      <c r="W20" s="2"/>
    </row>
    <row r="21" customFormat="false" ht="15" hidden="false" customHeight="false" outlineLevel="0" collapsed="false">
      <c r="A21" s="33"/>
      <c r="B21" s="33"/>
      <c r="C21" s="2"/>
      <c r="D21" s="2"/>
      <c r="E21" s="2"/>
      <c r="F21" s="2"/>
      <c r="G21" s="2"/>
      <c r="H21" s="2"/>
      <c r="I21" s="2"/>
      <c r="J21" s="2"/>
      <c r="K21" s="2"/>
      <c r="L21" s="33"/>
      <c r="M21" s="33"/>
      <c r="N21" s="46"/>
      <c r="O21" s="9" t="str">
        <f aca="false">IF(L21="","",L21&amp;"|"&amp;M21)</f>
        <v/>
      </c>
      <c r="P21" s="2"/>
      <c r="Q21" s="33"/>
      <c r="R21" s="2"/>
      <c r="S21" s="2"/>
      <c r="T21" s="2"/>
      <c r="U21" s="2"/>
      <c r="V21" s="2"/>
      <c r="W21" s="2"/>
    </row>
    <row r="22" customFormat="false" ht="15" hidden="false" customHeight="false" outlineLevel="0" collapsed="false">
      <c r="A22" s="33"/>
      <c r="B22" s="33"/>
      <c r="C22" s="2"/>
      <c r="D22" s="2"/>
      <c r="E22" s="2"/>
      <c r="F22" s="2"/>
      <c r="G22" s="2"/>
      <c r="H22" s="2"/>
      <c r="I22" s="2"/>
      <c r="J22" s="2"/>
      <c r="K22" s="2"/>
      <c r="L22" s="33"/>
      <c r="M22" s="33"/>
      <c r="N22" s="46"/>
      <c r="O22" s="9" t="str">
        <f aca="false">IF(L22="","",L22&amp;"|"&amp;M22)</f>
        <v/>
      </c>
      <c r="P22" s="2"/>
      <c r="Q22" s="33"/>
      <c r="R22" s="2"/>
      <c r="S22" s="2"/>
      <c r="T22" s="2"/>
      <c r="U22" s="2"/>
      <c r="V22" s="2"/>
      <c r="W22" s="2"/>
    </row>
    <row r="23" customFormat="false" ht="15" hidden="false" customHeight="false" outlineLevel="0" collapsed="false">
      <c r="A23" s="33"/>
      <c r="B23" s="33"/>
      <c r="C23" s="2"/>
      <c r="D23" s="2"/>
      <c r="E23" s="2"/>
      <c r="F23" s="2"/>
      <c r="G23" s="2"/>
      <c r="H23" s="2"/>
      <c r="I23" s="2"/>
      <c r="J23" s="2"/>
      <c r="K23" s="2"/>
      <c r="L23" s="33"/>
      <c r="M23" s="33"/>
      <c r="N23" s="46"/>
      <c r="O23" s="9" t="str">
        <f aca="false">IF(L23="","",L23&amp;"|"&amp;M23)</f>
        <v/>
      </c>
      <c r="P23" s="2"/>
      <c r="Q23" s="33"/>
      <c r="R23" s="2"/>
      <c r="S23" s="2"/>
      <c r="T23" s="2"/>
      <c r="U23" s="2"/>
      <c r="V23" s="2"/>
      <c r="W23" s="2"/>
    </row>
    <row r="24" customFormat="false" ht="15" hidden="false" customHeight="false" outlineLevel="0" collapsed="false">
      <c r="A24" s="33"/>
      <c r="B24" s="33"/>
      <c r="C24" s="2"/>
      <c r="D24" s="2"/>
      <c r="E24" s="2"/>
      <c r="F24" s="2"/>
      <c r="G24" s="2"/>
      <c r="H24" s="2"/>
      <c r="I24" s="2"/>
      <c r="J24" s="2"/>
      <c r="K24" s="2"/>
      <c r="L24" s="33"/>
      <c r="M24" s="33"/>
      <c r="N24" s="46"/>
      <c r="O24" s="9" t="str">
        <f aca="false">IF(L24="","",L24&amp;"|"&amp;M24)</f>
        <v/>
      </c>
      <c r="P24" s="2"/>
      <c r="Q24" s="33"/>
      <c r="R24" s="2"/>
      <c r="S24" s="2"/>
      <c r="T24" s="2"/>
      <c r="U24" s="2"/>
      <c r="V24" s="2"/>
      <c r="W24" s="2"/>
    </row>
    <row r="25" customFormat="false" ht="15" hidden="false" customHeight="false" outlineLevel="0" collapsed="false">
      <c r="A25" s="33"/>
      <c r="B25" s="33"/>
      <c r="C25" s="2"/>
      <c r="D25" s="2"/>
      <c r="E25" s="2"/>
      <c r="F25" s="2"/>
      <c r="G25" s="2"/>
      <c r="H25" s="2"/>
      <c r="I25" s="2"/>
      <c r="J25" s="2"/>
      <c r="K25" s="2"/>
      <c r="L25" s="33"/>
      <c r="M25" s="33"/>
      <c r="N25" s="46"/>
      <c r="O25" s="9" t="str">
        <f aca="false">IF(L25="","",L25&amp;"|"&amp;M25)</f>
        <v/>
      </c>
      <c r="P25" s="2"/>
      <c r="Q25" s="33"/>
      <c r="R25" s="2"/>
      <c r="S25" s="2"/>
      <c r="T25" s="2"/>
      <c r="U25" s="2"/>
      <c r="V25" s="2"/>
      <c r="W25" s="2"/>
    </row>
    <row r="26" customFormat="false" ht="15" hidden="false" customHeight="false" outlineLevel="0" collapsed="false">
      <c r="A26" s="33"/>
      <c r="B26" s="33"/>
      <c r="C26" s="2"/>
      <c r="D26" s="2"/>
      <c r="E26" s="2"/>
      <c r="F26" s="2"/>
      <c r="G26" s="2"/>
      <c r="H26" s="2"/>
      <c r="I26" s="2"/>
      <c r="J26" s="2"/>
      <c r="K26" s="2"/>
      <c r="L26" s="33"/>
      <c r="M26" s="33"/>
      <c r="N26" s="46"/>
      <c r="O26" s="9" t="str">
        <f aca="false">IF(L26="","",L26&amp;"|"&amp;M26)</f>
        <v/>
      </c>
      <c r="P26" s="2"/>
      <c r="Q26" s="33"/>
      <c r="R26" s="2"/>
      <c r="S26" s="2"/>
      <c r="T26" s="2"/>
      <c r="U26" s="2"/>
      <c r="V26" s="2"/>
      <c r="W26" s="2"/>
    </row>
    <row r="27" customFormat="false" ht="15" hidden="false" customHeight="false" outlineLevel="0" collapsed="false">
      <c r="A27" s="33"/>
      <c r="B27" s="33"/>
      <c r="C27" s="2"/>
      <c r="D27" s="2"/>
      <c r="E27" s="2"/>
      <c r="F27" s="2"/>
      <c r="G27" s="2"/>
      <c r="H27" s="2"/>
      <c r="I27" s="2"/>
      <c r="J27" s="2"/>
      <c r="K27" s="2"/>
      <c r="L27" s="33"/>
      <c r="M27" s="33"/>
      <c r="N27" s="46"/>
      <c r="O27" s="9" t="str">
        <f aca="false">IF(L27="","",L27&amp;"|"&amp;M27)</f>
        <v/>
      </c>
      <c r="P27" s="2"/>
      <c r="Q27" s="33"/>
      <c r="R27" s="2"/>
      <c r="S27" s="2"/>
      <c r="T27" s="2"/>
      <c r="U27" s="2"/>
      <c r="V27" s="2"/>
      <c r="W27" s="2"/>
    </row>
    <row r="28" customFormat="false" ht="15" hidden="false" customHeight="false" outlineLevel="0" collapsed="false">
      <c r="A28" s="33"/>
      <c r="B28" s="33"/>
      <c r="C28" s="2"/>
      <c r="D28" s="2"/>
      <c r="E28" s="2"/>
      <c r="F28" s="2"/>
      <c r="G28" s="2"/>
      <c r="H28" s="2"/>
      <c r="I28" s="2"/>
      <c r="J28" s="2"/>
      <c r="K28" s="2"/>
      <c r="L28" s="33"/>
      <c r="M28" s="33"/>
      <c r="N28" s="46"/>
      <c r="O28" s="9" t="str">
        <f aca="false">IF(L28="","",L28&amp;"|"&amp;M28)</f>
        <v/>
      </c>
      <c r="P28" s="2"/>
      <c r="Q28" s="33"/>
      <c r="R28" s="2"/>
      <c r="S28" s="2"/>
      <c r="T28" s="2"/>
      <c r="U28" s="2"/>
      <c r="V28" s="2"/>
      <c r="W28" s="2"/>
    </row>
    <row r="29" customFormat="false" ht="15" hidden="false" customHeight="false" outlineLevel="0" collapsed="false">
      <c r="A29" s="33"/>
      <c r="B29" s="33"/>
      <c r="C29" s="2"/>
      <c r="D29" s="2"/>
      <c r="E29" s="2"/>
      <c r="F29" s="2"/>
      <c r="G29" s="2"/>
      <c r="H29" s="2"/>
      <c r="I29" s="2"/>
      <c r="J29" s="2"/>
      <c r="K29" s="2"/>
      <c r="L29" s="33"/>
      <c r="M29" s="33"/>
      <c r="N29" s="46"/>
      <c r="O29" s="9" t="str">
        <f aca="false">IF(L29="","",L29&amp;"|"&amp;M29)</f>
        <v/>
      </c>
      <c r="P29" s="2"/>
      <c r="Q29" s="33"/>
      <c r="R29" s="2"/>
      <c r="S29" s="2"/>
      <c r="T29" s="2"/>
      <c r="U29" s="2"/>
      <c r="V29" s="2"/>
      <c r="W29" s="2"/>
    </row>
    <row r="30" customFormat="false" ht="15" hidden="false" customHeight="false" outlineLevel="0" collapsed="false">
      <c r="A30" s="33"/>
      <c r="B30" s="33"/>
      <c r="C30" s="2"/>
      <c r="D30" s="2"/>
      <c r="E30" s="2"/>
      <c r="F30" s="2"/>
      <c r="G30" s="2"/>
      <c r="H30" s="2"/>
      <c r="I30" s="2"/>
      <c r="J30" s="2"/>
      <c r="K30" s="2"/>
      <c r="L30" s="33"/>
      <c r="M30" s="33"/>
      <c r="N30" s="46"/>
      <c r="O30" s="9" t="str">
        <f aca="false">IF(L30="","",L30&amp;"|"&amp;M30)</f>
        <v/>
      </c>
      <c r="P30" s="2"/>
      <c r="Q30" s="33"/>
      <c r="R30" s="2"/>
      <c r="S30" s="2"/>
      <c r="T30" s="2"/>
      <c r="U30" s="2"/>
      <c r="V30" s="2"/>
      <c r="W30" s="2"/>
    </row>
    <row r="31" customFormat="false" ht="15" hidden="false" customHeight="false" outlineLevel="0" collapsed="false">
      <c r="A31" s="33"/>
      <c r="B31" s="33"/>
      <c r="C31" s="2"/>
      <c r="D31" s="2"/>
      <c r="E31" s="2"/>
      <c r="F31" s="2"/>
      <c r="G31" s="2"/>
      <c r="H31" s="2"/>
      <c r="I31" s="2"/>
      <c r="J31" s="2"/>
      <c r="K31" s="2"/>
      <c r="L31" s="33"/>
      <c r="M31" s="33"/>
      <c r="N31" s="46"/>
      <c r="O31" s="9" t="str">
        <f aca="false">IF(L31="","",L31&amp;"|"&amp;M31)</f>
        <v/>
      </c>
      <c r="P31" s="2"/>
      <c r="Q31" s="2"/>
      <c r="R31" s="2"/>
      <c r="S31" s="2"/>
      <c r="T31" s="2"/>
      <c r="U31" s="2"/>
      <c r="V31" s="2"/>
      <c r="W31" s="2"/>
    </row>
    <row r="32" customFormat="false" ht="15" hidden="false" customHeight="false" outlineLevel="0" collapsed="false">
      <c r="A32" s="33"/>
      <c r="B32" s="33"/>
      <c r="C32" s="2"/>
      <c r="D32" s="2"/>
      <c r="E32" s="2"/>
      <c r="F32" s="2"/>
      <c r="G32" s="2"/>
      <c r="H32" s="2"/>
      <c r="I32" s="2"/>
      <c r="J32" s="2"/>
      <c r="K32" s="2"/>
      <c r="L32" s="33"/>
      <c r="M32" s="33"/>
      <c r="N32" s="46"/>
      <c r="O32" s="9" t="str">
        <f aca="false">IF(L32="","",L32&amp;"|"&amp;M32)</f>
        <v/>
      </c>
      <c r="P32" s="2"/>
      <c r="Q32" s="2"/>
      <c r="R32" s="2"/>
      <c r="S32" s="2"/>
      <c r="T32" s="2"/>
      <c r="U32" s="2"/>
      <c r="V32" s="2"/>
      <c r="W32" s="2"/>
    </row>
    <row r="33" customFormat="false" ht="15" hidden="false" customHeight="false" outlineLevel="0" collapsed="false">
      <c r="A33" s="33"/>
      <c r="B33" s="33"/>
      <c r="C33" s="2"/>
      <c r="D33" s="2"/>
      <c r="E33" s="2"/>
      <c r="F33" s="2"/>
      <c r="G33" s="2"/>
      <c r="H33" s="2"/>
      <c r="I33" s="2"/>
      <c r="J33" s="2"/>
      <c r="K33" s="2"/>
      <c r="L33" s="33"/>
      <c r="M33" s="33"/>
      <c r="N33" s="46"/>
      <c r="O33" s="9" t="str">
        <f aca="false">IF(L33="","",L33&amp;"|"&amp;M33)</f>
        <v/>
      </c>
      <c r="P33" s="2"/>
      <c r="Q33" s="2"/>
      <c r="R33" s="2"/>
      <c r="S33" s="2"/>
      <c r="T33" s="2"/>
      <c r="U33" s="2"/>
      <c r="V33" s="2"/>
      <c r="W33" s="2"/>
    </row>
    <row r="34" customFormat="false" ht="15" hidden="false" customHeight="false" outlineLevel="0" collapsed="false">
      <c r="A34" s="33"/>
      <c r="B34" s="33"/>
      <c r="C34" s="2"/>
      <c r="D34" s="2"/>
      <c r="E34" s="2"/>
      <c r="F34" s="2"/>
      <c r="G34" s="2"/>
      <c r="H34" s="2"/>
      <c r="I34" s="2"/>
      <c r="J34" s="2"/>
      <c r="K34" s="2"/>
      <c r="L34" s="33"/>
      <c r="M34" s="33"/>
      <c r="N34" s="46"/>
      <c r="O34" s="9" t="str">
        <f aca="false">IF(L34="","",L34&amp;"|"&amp;M34)</f>
        <v/>
      </c>
      <c r="P34" s="2"/>
      <c r="Q34" s="2"/>
      <c r="R34" s="2"/>
      <c r="S34" s="2"/>
      <c r="T34" s="2"/>
      <c r="U34" s="2"/>
      <c r="V34" s="2"/>
      <c r="W34" s="2"/>
    </row>
    <row r="35" customFormat="false" ht="15" hidden="false" customHeight="false" outlineLevel="0" collapsed="false">
      <c r="A35" s="33"/>
      <c r="B35" s="33"/>
      <c r="C35" s="2"/>
      <c r="D35" s="2"/>
      <c r="E35" s="2"/>
      <c r="F35" s="2"/>
      <c r="G35" s="2"/>
      <c r="H35" s="2"/>
      <c r="I35" s="2"/>
      <c r="J35" s="2"/>
      <c r="K35" s="2"/>
      <c r="L35" s="33"/>
      <c r="M35" s="33"/>
      <c r="N35" s="46"/>
      <c r="O35" s="9" t="str">
        <f aca="false">IF(L35="","",L35&amp;"|"&amp;M35)</f>
        <v/>
      </c>
      <c r="P35" s="2"/>
      <c r="Q35" s="2"/>
      <c r="R35" s="2"/>
      <c r="S35" s="2"/>
      <c r="T35" s="2"/>
      <c r="U35" s="2"/>
      <c r="V35" s="2"/>
      <c r="W35" s="2"/>
    </row>
    <row r="36" customFormat="false" ht="15" hidden="false" customHeight="false" outlineLevel="0" collapsed="false">
      <c r="A36" s="33"/>
      <c r="B36" s="33"/>
      <c r="C36" s="2"/>
      <c r="D36" s="2"/>
      <c r="E36" s="2"/>
      <c r="F36" s="2"/>
      <c r="G36" s="2"/>
      <c r="H36" s="2"/>
      <c r="I36" s="2"/>
      <c r="J36" s="2"/>
      <c r="K36" s="2"/>
      <c r="L36" s="33"/>
      <c r="M36" s="33"/>
      <c r="N36" s="46"/>
      <c r="O36" s="9" t="str">
        <f aca="false">IF(L36="","",L36&amp;"|"&amp;M36)</f>
        <v/>
      </c>
      <c r="P36" s="2"/>
      <c r="Q36" s="2"/>
      <c r="R36" s="2"/>
      <c r="S36" s="2"/>
      <c r="T36" s="2"/>
      <c r="U36" s="2"/>
      <c r="V36" s="2"/>
      <c r="W36" s="2"/>
    </row>
    <row r="37" customFormat="false" ht="15" hidden="false" customHeight="false" outlineLevel="0" collapsed="false">
      <c r="A37" s="33"/>
      <c r="B37" s="33"/>
      <c r="C37" s="2"/>
      <c r="D37" s="2"/>
      <c r="E37" s="2"/>
      <c r="F37" s="2"/>
      <c r="G37" s="2"/>
      <c r="H37" s="2"/>
      <c r="I37" s="2"/>
      <c r="J37" s="2"/>
      <c r="K37" s="2"/>
      <c r="L37" s="33"/>
      <c r="M37" s="33"/>
      <c r="N37" s="46"/>
      <c r="O37" s="9" t="str">
        <f aca="false">IF(L37="","",L37&amp;"|"&amp;M37)</f>
        <v/>
      </c>
      <c r="P37" s="2"/>
      <c r="Q37" s="2"/>
      <c r="R37" s="2"/>
      <c r="S37" s="2"/>
      <c r="T37" s="2"/>
      <c r="U37" s="2"/>
      <c r="V37" s="2"/>
      <c r="W37" s="2"/>
    </row>
    <row r="38" customFormat="false" ht="15" hidden="false" customHeight="false" outlineLevel="0" collapsed="false">
      <c r="A38" s="33"/>
      <c r="B38" s="33"/>
      <c r="C38" s="2"/>
      <c r="D38" s="2"/>
      <c r="E38" s="2"/>
      <c r="F38" s="2"/>
      <c r="G38" s="2"/>
      <c r="H38" s="2"/>
      <c r="I38" s="2"/>
      <c r="J38" s="2"/>
      <c r="K38" s="2"/>
      <c r="L38" s="33"/>
      <c r="M38" s="33"/>
      <c r="N38" s="46"/>
      <c r="O38" s="9" t="str">
        <f aca="false">IF(L38="","",L38&amp;"|"&amp;M38)</f>
        <v/>
      </c>
      <c r="P38" s="2"/>
      <c r="Q38" s="2"/>
      <c r="R38" s="2"/>
      <c r="S38" s="2"/>
      <c r="T38" s="2"/>
      <c r="U38" s="2"/>
      <c r="V38" s="2"/>
      <c r="W38" s="2"/>
    </row>
    <row r="39" customFormat="false" ht="15" hidden="false" customHeight="false" outlineLevel="0" collapsed="false">
      <c r="A39" s="33"/>
      <c r="B39" s="33"/>
      <c r="C39" s="2"/>
      <c r="D39" s="2"/>
      <c r="E39" s="2"/>
      <c r="F39" s="2"/>
      <c r="G39" s="2"/>
      <c r="H39" s="2"/>
      <c r="I39" s="2"/>
      <c r="J39" s="2"/>
      <c r="K39" s="2"/>
      <c r="L39" s="33"/>
      <c r="M39" s="33"/>
      <c r="N39" s="46"/>
      <c r="O39" s="9" t="str">
        <f aca="false">IF(L39="","",L39&amp;"|"&amp;M39)</f>
        <v/>
      </c>
      <c r="P39" s="2"/>
      <c r="Q39" s="2"/>
      <c r="R39" s="2"/>
      <c r="S39" s="2"/>
      <c r="T39" s="2"/>
      <c r="U39" s="2"/>
      <c r="V39" s="2"/>
      <c r="W39" s="2"/>
    </row>
    <row r="40" customFormat="false" ht="15" hidden="false" customHeight="false" outlineLevel="0" collapsed="false">
      <c r="A40" s="33"/>
      <c r="B40" s="33"/>
      <c r="C40" s="2"/>
      <c r="D40" s="2"/>
      <c r="E40" s="2"/>
      <c r="F40" s="2"/>
      <c r="G40" s="2"/>
      <c r="H40" s="2"/>
      <c r="I40" s="2"/>
      <c r="J40" s="2"/>
      <c r="K40" s="2"/>
      <c r="L40" s="33"/>
      <c r="M40" s="33"/>
      <c r="N40" s="46"/>
      <c r="O40" s="9" t="str">
        <f aca="false">IF(L40="","",L40&amp;"|"&amp;M40)</f>
        <v/>
      </c>
      <c r="P40" s="2"/>
      <c r="Q40" s="2"/>
      <c r="R40" s="2"/>
      <c r="S40" s="2"/>
      <c r="T40" s="2"/>
      <c r="U40" s="2"/>
      <c r="V40" s="2"/>
      <c r="W40" s="2"/>
    </row>
    <row r="41" customFormat="false" ht="15" hidden="false" customHeight="false" outlineLevel="0" collapsed="false">
      <c r="A41" s="33"/>
      <c r="B41" s="33"/>
      <c r="C41" s="2"/>
      <c r="D41" s="2"/>
      <c r="E41" s="2"/>
      <c r="F41" s="2"/>
      <c r="G41" s="2"/>
      <c r="H41" s="2"/>
      <c r="I41" s="2"/>
      <c r="J41" s="2"/>
      <c r="K41" s="2"/>
      <c r="L41" s="33"/>
      <c r="M41" s="33"/>
      <c r="N41" s="46"/>
      <c r="O41" s="9" t="str">
        <f aca="false">IF(L41="","",L41&amp;"|"&amp;M41)</f>
        <v/>
      </c>
      <c r="P41" s="2"/>
      <c r="Q41" s="2"/>
      <c r="R41" s="2"/>
      <c r="S41" s="2"/>
      <c r="T41" s="2"/>
      <c r="U41" s="2"/>
      <c r="V41" s="2"/>
      <c r="W41" s="2"/>
    </row>
    <row r="42" customFormat="false" ht="15" hidden="false" customHeight="false" outlineLevel="0" collapsed="false">
      <c r="A42" s="33"/>
      <c r="B42" s="33"/>
      <c r="C42" s="2"/>
      <c r="D42" s="2"/>
      <c r="E42" s="2"/>
      <c r="F42" s="2"/>
      <c r="G42" s="2"/>
      <c r="H42" s="2"/>
      <c r="I42" s="2"/>
      <c r="J42" s="2"/>
      <c r="K42" s="2"/>
      <c r="L42" s="33"/>
      <c r="M42" s="33"/>
      <c r="N42" s="46"/>
      <c r="O42" s="9" t="str">
        <f aca="false">IF(L42="","",L42&amp;"|"&amp;M42)</f>
        <v/>
      </c>
      <c r="P42" s="2"/>
      <c r="Q42" s="2"/>
      <c r="R42" s="2"/>
      <c r="S42" s="2"/>
      <c r="T42" s="2"/>
      <c r="U42" s="2"/>
      <c r="V42" s="2"/>
      <c r="W42" s="2"/>
    </row>
    <row r="43" customFormat="false" ht="15" hidden="false" customHeight="false" outlineLevel="0" collapsed="false">
      <c r="A43" s="33"/>
      <c r="B43" s="33"/>
      <c r="C43" s="2"/>
      <c r="D43" s="2"/>
      <c r="E43" s="2"/>
      <c r="F43" s="2"/>
      <c r="G43" s="2"/>
      <c r="H43" s="2"/>
      <c r="I43" s="2"/>
      <c r="J43" s="2"/>
      <c r="K43" s="2"/>
      <c r="L43" s="33"/>
      <c r="M43" s="33"/>
      <c r="N43" s="46"/>
      <c r="O43" s="9" t="str">
        <f aca="false">IF(L43="","",L43&amp;"|"&amp;M43)</f>
        <v/>
      </c>
      <c r="P43" s="2"/>
      <c r="Q43" s="2"/>
      <c r="R43" s="2"/>
      <c r="S43" s="2"/>
      <c r="T43" s="2"/>
      <c r="U43" s="2"/>
      <c r="V43" s="2"/>
      <c r="W43" s="2"/>
    </row>
    <row r="44" customFormat="false" ht="15" hidden="false" customHeight="false" outlineLevel="0" collapsed="false">
      <c r="A44" s="33"/>
      <c r="B44" s="33"/>
      <c r="C44" s="2"/>
      <c r="D44" s="2"/>
      <c r="E44" s="2"/>
      <c r="F44" s="2"/>
      <c r="G44" s="2"/>
      <c r="H44" s="2"/>
      <c r="I44" s="2"/>
      <c r="J44" s="2"/>
      <c r="K44" s="2"/>
      <c r="L44" s="33"/>
      <c r="M44" s="33"/>
      <c r="N44" s="46"/>
      <c r="O44" s="9" t="str">
        <f aca="false">IF(L44="","",L44&amp;"|"&amp;M44)</f>
        <v/>
      </c>
      <c r="P44" s="2"/>
      <c r="Q44" s="2"/>
      <c r="R44" s="2"/>
      <c r="S44" s="2"/>
      <c r="T44" s="2"/>
      <c r="U44" s="2"/>
      <c r="V44" s="2"/>
      <c r="W44" s="2"/>
    </row>
    <row r="45" customFormat="false" ht="15" hidden="false" customHeight="false" outlineLevel="0" collapsed="false">
      <c r="A45" s="33"/>
      <c r="B45" s="33"/>
      <c r="C45" s="2"/>
      <c r="D45" s="2"/>
      <c r="E45" s="2"/>
      <c r="F45" s="2"/>
      <c r="G45" s="2"/>
      <c r="H45" s="2"/>
      <c r="I45" s="2"/>
      <c r="J45" s="2"/>
      <c r="K45" s="2"/>
      <c r="L45" s="33"/>
      <c r="M45" s="33"/>
      <c r="N45" s="46"/>
      <c r="O45" s="9" t="str">
        <f aca="false">IF(L45="","",L45&amp;"|"&amp;M45)</f>
        <v/>
      </c>
      <c r="P45" s="2"/>
      <c r="Q45" s="2"/>
      <c r="R45" s="2"/>
      <c r="S45" s="2"/>
      <c r="T45" s="2"/>
      <c r="U45" s="2"/>
      <c r="V45" s="2"/>
      <c r="W45" s="2"/>
    </row>
  </sheetData>
  <sheetProtection sheet="true" formatColumns="false" formatRows="false"/>
  <dataValidations count="3">
    <dataValidation allowBlank="true" errorStyle="stop" operator="between" showDropDown="false" showErrorMessage="true" showInputMessage="false" sqref="B6:B45" type="list">
      <formula1>ArchNames</formula1>
      <formula2>0</formula2>
    </dataValidation>
    <dataValidation allowBlank="true" errorStyle="stop" operator="between" showDropDown="false" showErrorMessage="true" showInputMessage="false" sqref="G14:J17" type="list">
      <formula1>ApproachNames</formula1>
      <formula2>0</formula2>
    </dataValidation>
    <dataValidation allowBlank="true" errorStyle="stop" operator="between" showDropDown="false" showErrorMessage="false" showInputMessage="false" sqref="L6:M45" type="list">
      <formula1>ToolNames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3" min="3" style="0" width="18"/>
    <col collapsed="false" customWidth="true" hidden="false" outlineLevel="0" max="4" min="4" style="0" width="14"/>
    <col collapsed="false" customWidth="true" hidden="false" outlineLevel="0" max="5" min="5" style="0" width="70"/>
  </cols>
  <sheetData>
    <row r="1" customFormat="false" ht="19.7" hidden="false" customHeight="false" outlineLevel="0" collapsed="false">
      <c r="A1" s="1" t="s">
        <v>39</v>
      </c>
      <c r="B1" s="2"/>
      <c r="C1" s="2"/>
      <c r="D1" s="2"/>
      <c r="E1" s="2"/>
    </row>
    <row r="2" customFormat="false" ht="15" hidden="false" customHeight="false" outlineLevel="0" collapsed="false">
      <c r="A2" s="3" t="s">
        <v>350</v>
      </c>
      <c r="B2" s="2"/>
      <c r="C2" s="2"/>
      <c r="D2" s="2"/>
      <c r="E2" s="2"/>
    </row>
    <row r="3" customFormat="false" ht="15" hidden="false" customHeight="false" outlineLevel="0" collapsed="false">
      <c r="A3" s="2"/>
      <c r="B3" s="2"/>
      <c r="C3" s="2"/>
      <c r="D3" s="2"/>
      <c r="E3" s="2"/>
    </row>
    <row r="4" customFormat="false" ht="30" hidden="false" customHeight="true" outlineLevel="0" collapsed="false">
      <c r="A4" s="21" t="s">
        <v>351</v>
      </c>
      <c r="B4" s="21" t="s">
        <v>352</v>
      </c>
      <c r="C4" s="21" t="s">
        <v>353</v>
      </c>
      <c r="D4" s="21" t="s">
        <v>354</v>
      </c>
      <c r="E4" s="21" t="s">
        <v>355</v>
      </c>
    </row>
    <row r="5" customFormat="false" ht="15" hidden="false" customHeight="false" outlineLevel="0" collapsed="false">
      <c r="A5" s="2"/>
      <c r="B5" s="2"/>
      <c r="C5" s="2"/>
      <c r="D5" s="2"/>
      <c r="E5" s="2"/>
    </row>
    <row r="6" customFormat="false" ht="15" hidden="false" customHeight="false" outlineLevel="0" collapsed="false">
      <c r="A6" s="19" t="s">
        <v>164</v>
      </c>
      <c r="B6" s="20"/>
      <c r="C6" s="20"/>
      <c r="D6" s="20"/>
      <c r="E6" s="20"/>
    </row>
    <row r="7" customFormat="false" ht="15" hidden="false" customHeight="false" outlineLevel="0" collapsed="false">
      <c r="A7" s="9" t="s">
        <v>356</v>
      </c>
      <c r="B7" s="47" t="n">
        <v>3.625</v>
      </c>
      <c r="C7" s="9" t="s">
        <v>357</v>
      </c>
      <c r="D7" s="9" t="s">
        <v>358</v>
      </c>
      <c r="E7" s="48" t="s">
        <v>359</v>
      </c>
    </row>
    <row r="8" customFormat="false" ht="15" hidden="false" customHeight="false" outlineLevel="0" collapsed="false">
      <c r="A8" s="9" t="s">
        <v>360</v>
      </c>
      <c r="B8" s="47" t="n">
        <v>6.625</v>
      </c>
      <c r="C8" s="9" t="s">
        <v>357</v>
      </c>
      <c r="D8" s="9" t="s">
        <v>358</v>
      </c>
      <c r="E8" s="48" t="s">
        <v>361</v>
      </c>
    </row>
    <row r="9" customFormat="false" ht="15" hidden="false" customHeight="false" outlineLevel="0" collapsed="false">
      <c r="A9" s="9" t="s">
        <v>362</v>
      </c>
      <c r="B9" s="47" t="n">
        <v>9.125</v>
      </c>
      <c r="C9" s="9" t="s">
        <v>357</v>
      </c>
      <c r="D9" s="9" t="s">
        <v>358</v>
      </c>
      <c r="E9" s="48" t="s">
        <v>363</v>
      </c>
    </row>
    <row r="10" customFormat="false" ht="15" hidden="false" customHeight="false" outlineLevel="0" collapsed="false">
      <c r="A10" s="9" t="s">
        <v>364</v>
      </c>
      <c r="B10" s="47" t="n">
        <v>12.625</v>
      </c>
      <c r="C10" s="9" t="s">
        <v>357</v>
      </c>
      <c r="D10" s="9" t="s">
        <v>358</v>
      </c>
      <c r="E10" s="48" t="s">
        <v>365</v>
      </c>
    </row>
    <row r="11" customFormat="false" ht="15" hidden="false" customHeight="false" outlineLevel="0" collapsed="false">
      <c r="A11" s="9" t="s">
        <v>366</v>
      </c>
      <c r="B11" s="47" t="n">
        <v>1</v>
      </c>
      <c r="C11" s="9" t="s">
        <v>357</v>
      </c>
      <c r="D11" s="9" t="s">
        <v>358</v>
      </c>
      <c r="E11" s="48" t="s">
        <v>367</v>
      </c>
    </row>
    <row r="12" customFormat="false" ht="23.85" hidden="false" customHeight="false" outlineLevel="0" collapsed="false">
      <c r="A12" s="9" t="s">
        <v>368</v>
      </c>
      <c r="B12" s="35" t="n">
        <v>0</v>
      </c>
      <c r="C12" s="9" t="s">
        <v>369</v>
      </c>
      <c r="D12" s="9" t="s">
        <v>370</v>
      </c>
      <c r="E12" s="48" t="s">
        <v>371</v>
      </c>
    </row>
    <row r="13" customFormat="false" ht="23.85" hidden="false" customHeight="false" outlineLevel="0" collapsed="false">
      <c r="A13" s="9" t="s">
        <v>372</v>
      </c>
      <c r="B13" s="35" t="n">
        <v>0.1</v>
      </c>
      <c r="C13" s="9" t="s">
        <v>369</v>
      </c>
      <c r="D13" s="9" t="s">
        <v>370</v>
      </c>
      <c r="E13" s="48" t="s">
        <v>371</v>
      </c>
    </row>
    <row r="14" customFormat="false" ht="23.85" hidden="false" customHeight="false" outlineLevel="0" collapsed="false">
      <c r="A14" s="9" t="s">
        <v>373</v>
      </c>
      <c r="B14" s="35" t="n">
        <v>0.15</v>
      </c>
      <c r="C14" s="9" t="s">
        <v>369</v>
      </c>
      <c r="D14" s="9" t="s">
        <v>370</v>
      </c>
      <c r="E14" s="48" t="s">
        <v>371</v>
      </c>
    </row>
    <row r="15" customFormat="false" ht="23.85" hidden="false" customHeight="false" outlineLevel="0" collapsed="false">
      <c r="A15" s="9" t="s">
        <v>374</v>
      </c>
      <c r="B15" s="35" t="n">
        <v>0.2</v>
      </c>
      <c r="C15" s="9" t="s">
        <v>369</v>
      </c>
      <c r="D15" s="9" t="s">
        <v>370</v>
      </c>
      <c r="E15" s="48" t="s">
        <v>371</v>
      </c>
    </row>
    <row r="16" customFormat="false" ht="15" hidden="false" customHeight="false" outlineLevel="0" collapsed="false">
      <c r="A16" s="9" t="s">
        <v>375</v>
      </c>
      <c r="B16" s="23" t="n">
        <f aca="false">AVERAGE(LearnQ)</f>
        <v>0.1125</v>
      </c>
      <c r="C16" s="2"/>
      <c r="D16" s="9" t="s">
        <v>20</v>
      </c>
      <c r="E16" s="2"/>
    </row>
    <row r="17" customFormat="false" ht="15" hidden="false" customHeight="false" outlineLevel="0" collapsed="false">
      <c r="A17" s="9" t="s">
        <v>376</v>
      </c>
      <c r="B17" s="43" t="n">
        <v>1.2</v>
      </c>
      <c r="C17" s="9" t="s">
        <v>377</v>
      </c>
      <c r="D17" s="9" t="s">
        <v>378</v>
      </c>
      <c r="E17" s="48" t="s">
        <v>379</v>
      </c>
    </row>
    <row r="18" customFormat="false" ht="15" hidden="false" customHeight="false" outlineLevel="0" collapsed="false">
      <c r="A18" s="9" t="s">
        <v>380</v>
      </c>
      <c r="B18" s="35" t="n">
        <v>0.25</v>
      </c>
      <c r="C18" s="9" t="s">
        <v>381</v>
      </c>
      <c r="D18" s="9" t="s">
        <v>378</v>
      </c>
      <c r="E18" s="48" t="s">
        <v>382</v>
      </c>
    </row>
    <row r="19" customFormat="false" ht="15" hidden="false" customHeight="false" outlineLevel="0" collapsed="false">
      <c r="A19" s="9" t="s">
        <v>383</v>
      </c>
      <c r="B19" s="49" t="n">
        <v>2</v>
      </c>
      <c r="C19" s="9" t="s">
        <v>384</v>
      </c>
      <c r="D19" s="9" t="s">
        <v>378</v>
      </c>
      <c r="E19" s="48" t="s">
        <v>385</v>
      </c>
    </row>
    <row r="20" customFormat="false" ht="15" hidden="false" customHeight="false" outlineLevel="0" collapsed="false">
      <c r="A20" s="2"/>
      <c r="B20" s="2"/>
      <c r="C20" s="2"/>
      <c r="D20" s="2"/>
      <c r="E20" s="2"/>
    </row>
    <row r="21" customFormat="false" ht="15" hidden="false" customHeight="false" outlineLevel="0" collapsed="false">
      <c r="A21" s="19" t="s">
        <v>386</v>
      </c>
      <c r="B21" s="20"/>
      <c r="C21" s="20"/>
      <c r="D21" s="20"/>
      <c r="E21" s="20"/>
    </row>
    <row r="22" customFormat="false" ht="15" hidden="false" customHeight="false" outlineLevel="0" collapsed="false">
      <c r="A22" s="9" t="s">
        <v>387</v>
      </c>
      <c r="B22" s="41" t="n">
        <v>80</v>
      </c>
      <c r="C22" s="9" t="s">
        <v>388</v>
      </c>
      <c r="D22" s="9" t="s">
        <v>378</v>
      </c>
      <c r="E22" s="48" t="s">
        <v>389</v>
      </c>
    </row>
    <row r="23" customFormat="false" ht="15" hidden="false" customHeight="false" outlineLevel="0" collapsed="false">
      <c r="A23" s="9" t="s">
        <v>390</v>
      </c>
      <c r="B23" s="41" t="n">
        <v>120</v>
      </c>
      <c r="C23" s="9" t="s">
        <v>388</v>
      </c>
      <c r="D23" s="9" t="s">
        <v>378</v>
      </c>
      <c r="E23" s="48" t="s">
        <v>389</v>
      </c>
    </row>
    <row r="24" customFormat="false" ht="15" hidden="false" customHeight="false" outlineLevel="0" collapsed="false">
      <c r="A24" s="9" t="s">
        <v>391</v>
      </c>
      <c r="B24" s="41" t="n">
        <v>200</v>
      </c>
      <c r="C24" s="9" t="s">
        <v>388</v>
      </c>
      <c r="D24" s="9" t="s">
        <v>378</v>
      </c>
      <c r="E24" s="48" t="s">
        <v>389</v>
      </c>
    </row>
    <row r="25" customFormat="false" ht="15" hidden="false" customHeight="false" outlineLevel="0" collapsed="false">
      <c r="A25" s="9" t="s">
        <v>392</v>
      </c>
      <c r="B25" s="41" t="n">
        <v>320</v>
      </c>
      <c r="C25" s="9" t="s">
        <v>388</v>
      </c>
      <c r="D25" s="9" t="s">
        <v>378</v>
      </c>
      <c r="E25" s="48" t="s">
        <v>389</v>
      </c>
    </row>
    <row r="26" customFormat="false" ht="15" hidden="false" customHeight="false" outlineLevel="0" collapsed="false">
      <c r="A26" s="9" t="s">
        <v>393</v>
      </c>
      <c r="B26" s="41" t="n">
        <v>16</v>
      </c>
      <c r="C26" s="9" t="s">
        <v>388</v>
      </c>
      <c r="D26" s="9" t="s">
        <v>378</v>
      </c>
      <c r="E26" s="48" t="s">
        <v>394</v>
      </c>
    </row>
    <row r="27" customFormat="false" ht="15" hidden="false" customHeight="false" outlineLevel="0" collapsed="false">
      <c r="A27" s="9" t="s">
        <v>395</v>
      </c>
      <c r="B27" s="35" t="n">
        <v>0.15</v>
      </c>
      <c r="C27" s="9" t="s">
        <v>381</v>
      </c>
      <c r="D27" s="9" t="s">
        <v>378</v>
      </c>
      <c r="E27" s="48" t="s">
        <v>396</v>
      </c>
    </row>
    <row r="28" customFormat="false" ht="15" hidden="false" customHeight="false" outlineLevel="0" collapsed="false">
      <c r="A28" s="9" t="s">
        <v>337</v>
      </c>
      <c r="B28" s="35" t="n">
        <v>1</v>
      </c>
      <c r="C28" s="9" t="s">
        <v>397</v>
      </c>
      <c r="D28" s="9" t="s">
        <v>378</v>
      </c>
      <c r="E28" s="9" t="s">
        <v>398</v>
      </c>
    </row>
    <row r="29" customFormat="false" ht="15" hidden="false" customHeight="false" outlineLevel="0" collapsed="false">
      <c r="A29" s="9" t="s">
        <v>342</v>
      </c>
      <c r="B29" s="35" t="n">
        <v>0.4</v>
      </c>
      <c r="C29" s="9" t="s">
        <v>397</v>
      </c>
      <c r="D29" s="9" t="s">
        <v>378</v>
      </c>
      <c r="E29" s="9" t="s">
        <v>398</v>
      </c>
    </row>
    <row r="30" customFormat="false" ht="15" hidden="false" customHeight="false" outlineLevel="0" collapsed="false">
      <c r="A30" s="9" t="s">
        <v>338</v>
      </c>
      <c r="B30" s="35" t="n">
        <v>1</v>
      </c>
      <c r="C30" s="9" t="s">
        <v>397</v>
      </c>
      <c r="D30" s="9" t="s">
        <v>378</v>
      </c>
      <c r="E30" s="9" t="s">
        <v>398</v>
      </c>
    </row>
    <row r="31" customFormat="false" ht="15" hidden="false" customHeight="false" outlineLevel="0" collapsed="false">
      <c r="A31" s="9" t="s">
        <v>340</v>
      </c>
      <c r="B31" s="35" t="n">
        <v>0.3</v>
      </c>
      <c r="C31" s="9" t="s">
        <v>397</v>
      </c>
      <c r="D31" s="9" t="s">
        <v>378</v>
      </c>
      <c r="E31" s="9" t="s">
        <v>398</v>
      </c>
    </row>
    <row r="32" customFormat="false" ht="15" hidden="false" customHeight="false" outlineLevel="0" collapsed="false">
      <c r="A32" s="2"/>
      <c r="B32" s="2"/>
      <c r="C32" s="2"/>
      <c r="D32" s="2"/>
      <c r="E32" s="2"/>
    </row>
    <row r="33" customFormat="false" ht="15" hidden="false" customHeight="false" outlineLevel="0" collapsed="false">
      <c r="A33" s="19" t="s">
        <v>399</v>
      </c>
      <c r="B33" s="20"/>
      <c r="C33" s="20"/>
      <c r="D33" s="20"/>
      <c r="E33" s="20"/>
    </row>
    <row r="34" customFormat="false" ht="30" hidden="false" customHeight="true" outlineLevel="0" collapsed="false">
      <c r="A34" s="21" t="s">
        <v>400</v>
      </c>
      <c r="B34" s="21" t="s">
        <v>401</v>
      </c>
      <c r="C34" s="21" t="s">
        <v>402</v>
      </c>
      <c r="D34" s="21" t="s">
        <v>403</v>
      </c>
      <c r="E34" s="21" t="s">
        <v>404</v>
      </c>
    </row>
    <row r="35" customFormat="false" ht="15" hidden="false" customHeight="false" outlineLevel="0" collapsed="false">
      <c r="A35" s="9" t="s">
        <v>405</v>
      </c>
      <c r="B35" s="41" t="n">
        <v>100</v>
      </c>
      <c r="C35" s="41" t="n">
        <v>40</v>
      </c>
      <c r="D35" s="41" t="n">
        <v>80</v>
      </c>
      <c r="E35" s="9" t="s">
        <v>406</v>
      </c>
    </row>
    <row r="36" customFormat="false" ht="15" hidden="false" customHeight="false" outlineLevel="0" collapsed="false">
      <c r="A36" s="9" t="s">
        <v>407</v>
      </c>
      <c r="B36" s="41" t="n">
        <v>500</v>
      </c>
      <c r="C36" s="41" t="n">
        <v>60</v>
      </c>
      <c r="D36" s="41" t="n">
        <v>160</v>
      </c>
      <c r="E36" s="9" t="s">
        <v>406</v>
      </c>
    </row>
    <row r="37" customFormat="false" ht="15" hidden="false" customHeight="false" outlineLevel="0" collapsed="false">
      <c r="A37" s="9" t="s">
        <v>408</v>
      </c>
      <c r="B37" s="41" t="n">
        <v>1000</v>
      </c>
      <c r="C37" s="41" t="n">
        <v>80</v>
      </c>
      <c r="D37" s="41" t="n">
        <v>240</v>
      </c>
      <c r="E37" s="9" t="s">
        <v>406</v>
      </c>
    </row>
    <row r="38" customFormat="false" ht="15" hidden="false" customHeight="false" outlineLevel="0" collapsed="false">
      <c r="A38" s="9" t="s">
        <v>409</v>
      </c>
      <c r="B38" s="41" t="n">
        <v>5000</v>
      </c>
      <c r="C38" s="41" t="n">
        <v>120</v>
      </c>
      <c r="D38" s="41" t="n">
        <v>360</v>
      </c>
      <c r="E38" s="9" t="s">
        <v>406</v>
      </c>
    </row>
    <row r="39" customFormat="false" ht="15" hidden="false" customHeight="false" outlineLevel="0" collapsed="false">
      <c r="A39" s="9" t="s">
        <v>410</v>
      </c>
      <c r="B39" s="41" t="n">
        <v>10000</v>
      </c>
      <c r="C39" s="41" t="n">
        <v>160</v>
      </c>
      <c r="D39" s="41" t="n">
        <v>480</v>
      </c>
      <c r="E39" s="9" t="s">
        <v>406</v>
      </c>
    </row>
    <row r="40" customFormat="false" ht="15" hidden="false" customHeight="false" outlineLevel="0" collapsed="false">
      <c r="A40" s="9" t="s">
        <v>411</v>
      </c>
      <c r="B40" s="49" t="n">
        <v>4</v>
      </c>
      <c r="C40" s="9" t="s">
        <v>388</v>
      </c>
      <c r="D40" s="9" t="s">
        <v>378</v>
      </c>
      <c r="E40" s="48" t="s">
        <v>412</v>
      </c>
    </row>
    <row r="41" customFormat="false" ht="15" hidden="false" customHeight="false" outlineLevel="0" collapsed="false">
      <c r="A41" s="2"/>
      <c r="B41" s="2"/>
      <c r="C41" s="2"/>
      <c r="D41" s="2"/>
      <c r="E41" s="2"/>
    </row>
    <row r="42" customFormat="false" ht="15" hidden="false" customHeight="false" outlineLevel="0" collapsed="false">
      <c r="A42" s="19" t="s">
        <v>413</v>
      </c>
      <c r="B42" s="20"/>
      <c r="C42" s="20"/>
      <c r="D42" s="20"/>
      <c r="E42" s="20"/>
    </row>
    <row r="43" customFormat="false" ht="15" hidden="false" customHeight="false" outlineLevel="0" collapsed="false">
      <c r="A43" s="9" t="s">
        <v>414</v>
      </c>
      <c r="B43" s="41" t="n">
        <v>80</v>
      </c>
      <c r="C43" s="9" t="s">
        <v>415</v>
      </c>
      <c r="D43" s="9" t="s">
        <v>378</v>
      </c>
      <c r="E43" s="48" t="s">
        <v>416</v>
      </c>
    </row>
    <row r="44" customFormat="false" ht="15" hidden="false" customHeight="false" outlineLevel="0" collapsed="false">
      <c r="A44" s="9" t="s">
        <v>417</v>
      </c>
      <c r="B44" s="41" t="n">
        <v>24</v>
      </c>
      <c r="C44" s="9" t="s">
        <v>418</v>
      </c>
      <c r="D44" s="9" t="s">
        <v>378</v>
      </c>
      <c r="E44" s="48" t="s">
        <v>419</v>
      </c>
    </row>
    <row r="45" customFormat="false" ht="15" hidden="false" customHeight="false" outlineLevel="0" collapsed="false">
      <c r="A45" s="9" t="s">
        <v>235</v>
      </c>
      <c r="B45" s="41" t="n">
        <v>0</v>
      </c>
      <c r="C45" s="9" t="s">
        <v>420</v>
      </c>
      <c r="D45" s="9" t="s">
        <v>378</v>
      </c>
      <c r="E45" s="9" t="s">
        <v>421</v>
      </c>
    </row>
    <row r="46" customFormat="false" ht="15" hidden="false" customHeight="false" outlineLevel="0" collapsed="false">
      <c r="A46" s="9" t="s">
        <v>234</v>
      </c>
      <c r="B46" s="41" t="n">
        <v>4</v>
      </c>
      <c r="C46" s="9" t="s">
        <v>420</v>
      </c>
      <c r="D46" s="9" t="s">
        <v>378</v>
      </c>
      <c r="E46" s="9" t="s">
        <v>421</v>
      </c>
    </row>
    <row r="47" customFormat="false" ht="15" hidden="false" customHeight="false" outlineLevel="0" collapsed="false">
      <c r="A47" s="9" t="s">
        <v>227</v>
      </c>
      <c r="B47" s="41" t="n">
        <v>12</v>
      </c>
      <c r="C47" s="9" t="s">
        <v>420</v>
      </c>
      <c r="D47" s="9" t="s">
        <v>378</v>
      </c>
      <c r="E47" s="9" t="s">
        <v>421</v>
      </c>
    </row>
    <row r="48" customFormat="false" ht="15" hidden="false" customHeight="false" outlineLevel="0" collapsed="false">
      <c r="A48" s="9" t="s">
        <v>422</v>
      </c>
      <c r="B48" s="41" t="n">
        <v>20</v>
      </c>
      <c r="C48" s="9" t="s">
        <v>420</v>
      </c>
      <c r="D48" s="9" t="s">
        <v>378</v>
      </c>
      <c r="E48" s="9" t="s">
        <v>421</v>
      </c>
    </row>
    <row r="49" customFormat="false" ht="15" hidden="false" customHeight="false" outlineLevel="0" collapsed="false">
      <c r="A49" s="9" t="s">
        <v>423</v>
      </c>
      <c r="B49" s="49" t="n">
        <v>0.5</v>
      </c>
      <c r="C49" s="9" t="s">
        <v>424</v>
      </c>
      <c r="D49" s="9" t="s">
        <v>378</v>
      </c>
      <c r="E49" s="48" t="s">
        <v>425</v>
      </c>
    </row>
    <row r="50" customFormat="false" ht="15" hidden="false" customHeight="false" outlineLevel="0" collapsed="false">
      <c r="A50" s="9" t="s">
        <v>426</v>
      </c>
      <c r="B50" s="49" t="n">
        <v>1</v>
      </c>
      <c r="C50" s="9" t="s">
        <v>427</v>
      </c>
      <c r="D50" s="9" t="s">
        <v>378</v>
      </c>
      <c r="E50" s="48" t="s">
        <v>428</v>
      </c>
    </row>
    <row r="51" customFormat="false" ht="15" hidden="false" customHeight="false" outlineLevel="0" collapsed="false">
      <c r="A51" s="9" t="s">
        <v>429</v>
      </c>
      <c r="B51" s="41" t="n">
        <v>40</v>
      </c>
      <c r="C51" s="9" t="s">
        <v>418</v>
      </c>
      <c r="D51" s="9" t="s">
        <v>378</v>
      </c>
      <c r="E51" s="48" t="s">
        <v>430</v>
      </c>
    </row>
    <row r="52" customFormat="false" ht="15" hidden="false" customHeight="false" outlineLevel="0" collapsed="false">
      <c r="A52" s="9" t="s">
        <v>235</v>
      </c>
      <c r="B52" s="41" t="n">
        <v>0</v>
      </c>
      <c r="C52" s="9" t="s">
        <v>420</v>
      </c>
      <c r="D52" s="9" t="s">
        <v>431</v>
      </c>
      <c r="E52" s="9" t="s">
        <v>432</v>
      </c>
    </row>
    <row r="53" customFormat="false" ht="15" hidden="false" customHeight="false" outlineLevel="0" collapsed="false">
      <c r="A53" s="9" t="s">
        <v>228</v>
      </c>
      <c r="B53" s="41" t="n">
        <v>16</v>
      </c>
      <c r="C53" s="9" t="s">
        <v>420</v>
      </c>
      <c r="D53" s="9" t="s">
        <v>431</v>
      </c>
      <c r="E53" s="9" t="s">
        <v>432</v>
      </c>
    </row>
    <row r="54" customFormat="false" ht="15" hidden="false" customHeight="false" outlineLevel="0" collapsed="false">
      <c r="A54" s="9" t="s">
        <v>433</v>
      </c>
      <c r="B54" s="41" t="n">
        <v>40</v>
      </c>
      <c r="C54" s="9" t="s">
        <v>420</v>
      </c>
      <c r="D54" s="9" t="s">
        <v>431</v>
      </c>
      <c r="E54" s="9" t="s">
        <v>432</v>
      </c>
    </row>
    <row r="55" customFormat="false" ht="15" hidden="false" customHeight="false" outlineLevel="0" collapsed="false">
      <c r="A55" s="2"/>
      <c r="B55" s="2"/>
      <c r="C55" s="2"/>
      <c r="D55" s="2"/>
      <c r="E55" s="2"/>
    </row>
    <row r="56" customFormat="false" ht="15" hidden="false" customHeight="false" outlineLevel="0" collapsed="false">
      <c r="A56" s="19" t="s">
        <v>434</v>
      </c>
      <c r="B56" s="20"/>
      <c r="C56" s="20"/>
      <c r="D56" s="20"/>
      <c r="E56" s="20"/>
    </row>
    <row r="57" customFormat="false" ht="15" hidden="false" customHeight="false" outlineLevel="0" collapsed="false">
      <c r="A57" s="9" t="s">
        <v>435</v>
      </c>
      <c r="B57" s="35" t="n">
        <v>0.6</v>
      </c>
      <c r="C57" s="9" t="s">
        <v>436</v>
      </c>
      <c r="D57" s="9" t="s">
        <v>437</v>
      </c>
      <c r="E57" s="48" t="s">
        <v>438</v>
      </c>
    </row>
    <row r="58" customFormat="false" ht="15" hidden="false" customHeight="false" outlineLevel="0" collapsed="false">
      <c r="A58" s="9" t="s">
        <v>439</v>
      </c>
      <c r="B58" s="35" t="n">
        <v>0.4</v>
      </c>
      <c r="C58" s="9" t="s">
        <v>436</v>
      </c>
      <c r="D58" s="9" t="s">
        <v>437</v>
      </c>
      <c r="E58" s="48" t="s">
        <v>438</v>
      </c>
    </row>
    <row r="59" customFormat="false" ht="15" hidden="false" customHeight="false" outlineLevel="0" collapsed="false">
      <c r="A59" s="9" t="s">
        <v>440</v>
      </c>
      <c r="B59" s="35" t="n">
        <v>0.6</v>
      </c>
      <c r="C59" s="9" t="s">
        <v>436</v>
      </c>
      <c r="D59" s="9" t="s">
        <v>437</v>
      </c>
      <c r="E59" s="48" t="s">
        <v>438</v>
      </c>
    </row>
    <row r="60" customFormat="false" ht="15" hidden="false" customHeight="false" outlineLevel="0" collapsed="false">
      <c r="A60" s="9" t="s">
        <v>441</v>
      </c>
      <c r="B60" s="35" t="n">
        <v>0.3</v>
      </c>
      <c r="C60" s="9" t="s">
        <v>436</v>
      </c>
      <c r="D60" s="9" t="s">
        <v>437</v>
      </c>
      <c r="E60" s="48" t="s">
        <v>438</v>
      </c>
    </row>
    <row r="61" customFormat="false" ht="15" hidden="false" customHeight="false" outlineLevel="0" collapsed="false">
      <c r="A61" s="9" t="s">
        <v>442</v>
      </c>
      <c r="B61" s="35" t="n">
        <v>0.2</v>
      </c>
      <c r="C61" s="9" t="s">
        <v>436</v>
      </c>
      <c r="D61" s="9" t="s">
        <v>437</v>
      </c>
      <c r="E61" s="48" t="s">
        <v>438</v>
      </c>
    </row>
    <row r="62" customFormat="false" ht="15" hidden="false" customHeight="false" outlineLevel="0" collapsed="false">
      <c r="A62" s="9" t="s">
        <v>443</v>
      </c>
      <c r="B62" s="35" t="n">
        <v>0.6</v>
      </c>
      <c r="C62" s="9" t="s">
        <v>436</v>
      </c>
      <c r="D62" s="9" t="s">
        <v>437</v>
      </c>
      <c r="E62" s="48" t="s">
        <v>438</v>
      </c>
    </row>
    <row r="63" customFormat="false" ht="15" hidden="false" customHeight="false" outlineLevel="0" collapsed="false">
      <c r="A63" s="9" t="s">
        <v>444</v>
      </c>
      <c r="B63" s="41" t="n">
        <v>40</v>
      </c>
      <c r="C63" s="9" t="s">
        <v>418</v>
      </c>
      <c r="D63" s="9" t="s">
        <v>378</v>
      </c>
      <c r="E63" s="48" t="s">
        <v>445</v>
      </c>
    </row>
    <row r="64" customFormat="false" ht="15" hidden="false" customHeight="false" outlineLevel="0" collapsed="false">
      <c r="A64" s="9" t="s">
        <v>446</v>
      </c>
      <c r="B64" s="49" t="n">
        <v>0.5</v>
      </c>
      <c r="C64" s="9" t="s">
        <v>384</v>
      </c>
      <c r="D64" s="9" t="s">
        <v>358</v>
      </c>
      <c r="E64" s="48" t="s">
        <v>447</v>
      </c>
    </row>
    <row r="65" customFormat="false" ht="15" hidden="false" customHeight="false" outlineLevel="0" collapsed="false">
      <c r="A65" s="2"/>
      <c r="B65" s="2"/>
      <c r="C65" s="2"/>
      <c r="D65" s="2"/>
      <c r="E65" s="2"/>
    </row>
    <row r="66" customFormat="false" ht="15" hidden="false" customHeight="false" outlineLevel="0" collapsed="false">
      <c r="A66" s="19" t="s">
        <v>448</v>
      </c>
      <c r="B66" s="20"/>
      <c r="C66" s="20"/>
      <c r="D66" s="20"/>
      <c r="E66" s="20"/>
    </row>
    <row r="67" customFormat="false" ht="15" hidden="false" customHeight="false" outlineLevel="0" collapsed="false">
      <c r="A67" s="9" t="s">
        <v>449</v>
      </c>
      <c r="B67" s="35" t="n">
        <v>0.1</v>
      </c>
      <c r="C67" s="9" t="s">
        <v>450</v>
      </c>
      <c r="D67" s="9" t="s">
        <v>378</v>
      </c>
      <c r="E67" s="9" t="s">
        <v>451</v>
      </c>
    </row>
    <row r="68" customFormat="false" ht="15" hidden="false" customHeight="false" outlineLevel="0" collapsed="false">
      <c r="A68" s="9" t="s">
        <v>229</v>
      </c>
      <c r="B68" s="35" t="n">
        <v>0.15</v>
      </c>
      <c r="C68" s="9" t="s">
        <v>450</v>
      </c>
      <c r="D68" s="9" t="s">
        <v>378</v>
      </c>
      <c r="E68" s="9" t="s">
        <v>451</v>
      </c>
    </row>
    <row r="69" customFormat="false" ht="15" hidden="false" customHeight="false" outlineLevel="0" collapsed="false">
      <c r="A69" s="9" t="s">
        <v>236</v>
      </c>
      <c r="B69" s="35" t="n">
        <v>0.25</v>
      </c>
      <c r="C69" s="9" t="s">
        <v>450</v>
      </c>
      <c r="D69" s="9" t="s">
        <v>378</v>
      </c>
      <c r="E69" s="9" t="s">
        <v>451</v>
      </c>
    </row>
    <row r="70" customFormat="false" ht="15" hidden="false" customHeight="false" outlineLevel="0" collapsed="false">
      <c r="A70" s="9" t="s">
        <v>452</v>
      </c>
      <c r="B70" s="43" t="n">
        <v>0.7</v>
      </c>
      <c r="C70" s="9" t="s">
        <v>377</v>
      </c>
      <c r="D70" s="9" t="s">
        <v>378</v>
      </c>
      <c r="E70" s="48" t="s">
        <v>453</v>
      </c>
    </row>
    <row r="71" customFormat="false" ht="15" hidden="false" customHeight="false" outlineLevel="0" collapsed="false">
      <c r="A71" s="9" t="s">
        <v>454</v>
      </c>
      <c r="B71" s="43" t="n">
        <v>2</v>
      </c>
      <c r="C71" s="9" t="s">
        <v>377</v>
      </c>
      <c r="D71" s="9" t="s">
        <v>378</v>
      </c>
      <c r="E71" s="48"/>
    </row>
    <row r="72" customFormat="false" ht="15" hidden="false" customHeight="false" outlineLevel="0" collapsed="false">
      <c r="A72" s="9" t="s">
        <v>455</v>
      </c>
      <c r="B72" s="35" t="n">
        <v>0.05</v>
      </c>
      <c r="C72" s="9" t="s">
        <v>456</v>
      </c>
      <c r="D72" s="9" t="s">
        <v>378</v>
      </c>
      <c r="E72" s="48" t="s">
        <v>457</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12"/>
    <col collapsed="false" customWidth="true" hidden="false" outlineLevel="0" max="5" min="4" style="0" width="22"/>
    <col collapsed="false" customWidth="true" hidden="false" outlineLevel="0" max="7" min="6" style="0" width="12"/>
    <col collapsed="false" customWidth="true" hidden="false" outlineLevel="0" max="8" min="8" style="0" width="22"/>
    <col collapsed="false" customWidth="true" hidden="false" outlineLevel="0" max="48" min="9" style="0" width="12"/>
  </cols>
  <sheetData>
    <row r="1" customFormat="false" ht="19.7" hidden="false" customHeight="false" outlineLevel="0" collapsed="false">
      <c r="A1" s="1" t="s">
        <v>41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row>
    <row r="2" customFormat="false" ht="15" hidden="false" customHeight="false" outlineLevel="0" collapsed="false">
      <c r="A2" s="3" t="s">
        <v>458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customFormat="false" ht="15" hidden="false" customHeight="false" outlineLevel="0" collapsed="false">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row>
    <row r="5" customFormat="false" ht="15" hidden="false" customHeight="false" outlineLevel="0" collapsed="false">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row>
    <row r="6" customFormat="false" ht="60" hidden="false" customHeight="true" outlineLevel="0" collapsed="false">
      <c r="A6" s="21" t="s">
        <v>188</v>
      </c>
      <c r="B6" s="21" t="s">
        <v>105</v>
      </c>
      <c r="C6" s="21" t="s">
        <v>459</v>
      </c>
      <c r="D6" s="21" t="s">
        <v>460</v>
      </c>
      <c r="E6" s="21" t="s">
        <v>461</v>
      </c>
      <c r="F6" s="21" t="s">
        <v>462</v>
      </c>
      <c r="G6" s="21" t="s">
        <v>463</v>
      </c>
      <c r="H6" s="21" t="s">
        <v>464</v>
      </c>
      <c r="I6" s="21" t="s">
        <v>465</v>
      </c>
      <c r="J6" s="21" t="s">
        <v>466</v>
      </c>
      <c r="K6" s="21" t="s">
        <v>467</v>
      </c>
      <c r="L6" s="21" t="s">
        <v>468</v>
      </c>
      <c r="M6" s="21" t="s">
        <v>469</v>
      </c>
      <c r="N6" s="21" t="s">
        <v>470</v>
      </c>
      <c r="O6" s="21" t="s">
        <v>471</v>
      </c>
      <c r="P6" s="21" t="s">
        <v>472</v>
      </c>
      <c r="Q6" s="21" t="s">
        <v>473</v>
      </c>
      <c r="R6" s="21" t="s">
        <v>107</v>
      </c>
      <c r="S6" s="21" t="s">
        <v>474</v>
      </c>
      <c r="T6" s="21" t="s">
        <v>475</v>
      </c>
      <c r="U6" s="21" t="s">
        <v>476</v>
      </c>
      <c r="V6" s="21" t="s">
        <v>477</v>
      </c>
      <c r="W6" s="21" t="s">
        <v>478</v>
      </c>
      <c r="X6" s="21" t="s">
        <v>479</v>
      </c>
      <c r="Y6" s="21" t="s">
        <v>480</v>
      </c>
      <c r="Z6" s="21" t="s">
        <v>481</v>
      </c>
      <c r="AA6" s="21" t="s">
        <v>482</v>
      </c>
      <c r="AB6" s="21" t="s">
        <v>483</v>
      </c>
      <c r="AC6" s="21" t="s">
        <v>484</v>
      </c>
      <c r="AD6" s="21" t="s">
        <v>485</v>
      </c>
      <c r="AE6" s="21" t="s">
        <v>486</v>
      </c>
      <c r="AF6" s="21" t="s">
        <v>487</v>
      </c>
      <c r="AG6" s="21" t="s">
        <v>488</v>
      </c>
      <c r="AH6" s="21" t="s">
        <v>489</v>
      </c>
      <c r="AI6" s="21" t="s">
        <v>490</v>
      </c>
      <c r="AJ6" s="21" t="s">
        <v>491</v>
      </c>
      <c r="AK6" s="21" t="s">
        <v>492</v>
      </c>
      <c r="AL6" s="21" t="s">
        <v>493</v>
      </c>
      <c r="AM6" s="21" t="s">
        <v>494</v>
      </c>
      <c r="AN6" s="21" t="s">
        <v>109</v>
      </c>
      <c r="AO6" s="21" t="s">
        <v>495</v>
      </c>
      <c r="AP6" s="21" t="s">
        <v>496</v>
      </c>
      <c r="AQ6" s="21" t="s">
        <v>497</v>
      </c>
      <c r="AR6" s="21" t="s">
        <v>498</v>
      </c>
      <c r="AS6" s="21" t="s">
        <v>499</v>
      </c>
      <c r="AT6" s="21" t="s">
        <v>500</v>
      </c>
      <c r="AU6" s="21" t="s">
        <v>501</v>
      </c>
      <c r="AV6" s="21" t="s">
        <v>502</v>
      </c>
    </row>
    <row r="7" customFormat="false" ht="15" hidden="false" customHeight="false" outlineLevel="0" collapsed="false">
      <c r="A7" s="9" t="n">
        <f aca="false">Scope!$A7</f>
        <v>1</v>
      </c>
      <c r="B7" s="9" t="str">
        <f aca="false">IF(Scope!$B7="","",Scope!$B7)</f>
        <v>Finance OBIEE to Power BI</v>
      </c>
      <c r="C7" s="29" t="n">
        <f aca="false">IF(AND(Scope!$C7&lt;&gt;"",Scope!$D7&lt;&gt;"",N(Scope!$H7)&gt;0),1,0)</f>
        <v>1</v>
      </c>
      <c r="D7" s="9" t="str">
        <f aca="false">IF(C7=0,"",IFERROR(INDEX(ToolArch,MATCH(Scope!$C7,ToolNames,0)),"Unmapped"))</f>
        <v>Enterprise semantic-layer</v>
      </c>
      <c r="E7" s="9" t="str">
        <f aca="false">IF(C7=0,"",IFERROR(INDEX(ToolArch,MATCH(Scope!$D7,ToolNames,0)),"Unmapped"))</f>
        <v>Modern visual / self-service</v>
      </c>
      <c r="F7" s="50" t="n">
        <f aca="false">IF(C7=0,0,IFERROR(INDEX(KnownFactor,MATCH(Scope!$C7&amp;"|"&amp;Scope!$D7,KnownKey,0)),IFERROR(INDEX(ArchFactor,MATCH(D7,ArchNames,0),MATCH(E7,ArchNames,0)),1)))</f>
        <v>1</v>
      </c>
      <c r="G7" s="50" t="n">
        <f aca="false">IF(C7=0,0,IF(N(Scope!$AC7)&gt;0,MIN(FactorMax,MAX(FactorMin,Scope!$AC7)),F7))</f>
        <v>1</v>
      </c>
      <c r="H7" s="9" t="str">
        <f aca="false">IF(C7=0,"",IFERROR(INDEX(ApproachMatrix,MATCH(D7,ArchNames,0),MATCH(E7,ArchNames,0)),"Redesign"))</f>
        <v>Redesign</v>
      </c>
      <c r="I7" s="32" t="n">
        <f aca="false">IF(C7=0,0,IFERROR(INDEX(ApproachShares,MATCH(H7,ApproachNames,0)),1))</f>
        <v>1</v>
      </c>
      <c r="J7" s="29" t="n">
        <f aca="false">IF(AND(C7=1,Scope!$E7&lt;&gt;"",Scope!$F7&lt;&gt;"",Scope!$E7&lt;&gt;Scope!$F7),1,0)</f>
        <v>1</v>
      </c>
      <c r="K7" s="50" t="n">
        <f aca="false">1+J7*N(Scope!$K7)*DPRepUplift</f>
        <v>1.0375</v>
      </c>
      <c r="L7" s="50" t="n">
        <f aca="false">1+J7*DPModelUplift</f>
        <v>1.15</v>
      </c>
      <c r="M7" s="50" t="n">
        <f aca="false">1+N(Scope!$J7)*(PaginatedFactor-1)</f>
        <v>1.02</v>
      </c>
      <c r="N7" s="23" t="n">
        <f aca="false">IF(Scope!$AE7="",AutoAssess,Scope!$AE7)*CapAssess</f>
        <v>0</v>
      </c>
      <c r="O7" s="23" t="n">
        <f aca="false">IF(Scope!$AF7="",AutoSem,Scope!$AF7)*CapSem</f>
        <v>0</v>
      </c>
      <c r="P7" s="23" t="n">
        <f aca="false">IF(Scope!$AG7="",AutoRep,Scope!$AG7)*CapRep</f>
        <v>0</v>
      </c>
      <c r="Q7" s="22" t="n">
        <f aca="false">C7*N(Scope!$H7)*N(Scope!$I7)</f>
        <v>1200</v>
      </c>
      <c r="R7" s="51" t="n">
        <f aca="false">C7*N(Scope!$H7)*MAX(0,1-N(Scope!$P7)-N(Scope!$Q7))</f>
        <v>280</v>
      </c>
      <c r="S7" s="51" t="n">
        <f aca="false">R7*N(Scope!$R7)</f>
        <v>28</v>
      </c>
      <c r="T7" s="51" t="n">
        <f aca="false">R7-S7</f>
        <v>252</v>
      </c>
      <c r="U7" s="51" t="n">
        <f aca="false">T7*N(Scope!$I7)</f>
        <v>756</v>
      </c>
      <c r="V7" s="51" t="n">
        <f aca="false">S7*N(Scope!$I7)</f>
        <v>84</v>
      </c>
      <c r="W7" s="51" t="n">
        <f aca="false">C7*N(Scope!$H7)*N(Scope!$Q7)</f>
        <v>40</v>
      </c>
      <c r="X7" s="52" t="n">
        <f aca="false">N(Scope!$L7)*INDEX(HrsPage,1)+N(Scope!$M7)*INDEX(HrsPage,2)+N(Scope!$N7)*INDEX(HrsPage,3)+N(Scope!$O7)*INDEX(HrsPage,4)</f>
        <v>6.225</v>
      </c>
      <c r="Y7" s="22" t="n">
        <f aca="false">(U7*X7*K7*M7+V7*HrsDerived)*G7</f>
        <v>5064.230325</v>
      </c>
      <c r="Z7" s="22" t="n">
        <f aca="false">W7*MergeHrs*G7</f>
        <v>80</v>
      </c>
      <c r="AA7" s="22" t="n">
        <f aca="false">Y7*(1-LearnAvg)*(1-P7)+Z7</f>
        <v>4574.5044134375</v>
      </c>
      <c r="AB7" s="51" t="n">
        <f aca="false">C7*N(Scope!$X7)</f>
        <v>8</v>
      </c>
      <c r="AC7" s="51" t="n">
        <f aca="false">N(Scope!$T7)*INDEX(ModelHrs,1)+N(Scope!$U7)*INDEX(ModelHrs,2)+N(Scope!$V7)*INDEX(ModelHrs,3)+N(Scope!$W7)*INDEX(ModelHrs,4)</f>
        <v>144</v>
      </c>
      <c r="AD7" s="22" t="n">
        <f aca="false">AB7*AC7*I7*G7*L7</f>
        <v>1324.8</v>
      </c>
      <c r="AE7" s="22" t="n">
        <f aca="false">C7*MAX(0,N(Scope!$S7)-N(Scope!$X7))*ConsolHrs*G7</f>
        <v>64</v>
      </c>
      <c r="AF7" s="22" t="n">
        <f aca="false">(AD7+AE7)*(1-O7)</f>
        <v>1388.8</v>
      </c>
      <c r="AG7" s="22" t="n">
        <f aca="false">IF(C7=0,0,(IF(Q7&lt;=INDEX(AnchorPages,1),INDEX(AnchorAnalysis,1),IF(Q7&gt;=INDEX(AnchorPages,5),INDEX(AnchorAnalysis,5)+(Q7-INDEX(AnchorPages,5))*(INDEX(AnchorAnalysis,5)-INDEX(AnchorAnalysis,4))/(INDEX(AnchorPages,5)-INDEX(AnchorPages,4)),INDEX(AnchorAnalysis,MATCH(Q7,AnchorPages,1))+(Q7-INDEX(AnchorPages,MATCH(Q7,AnchorPages,1)))*(INDEX(AnchorAnalysis,MATCH(Q7,AnchorPages,1)+1)-INDEX(AnchorAnalysis,MATCH(Q7,AnchorPages,1)))/(INDEX(AnchorPages,MATCH(Q7,AnchorPages,1)+1)-INDEX(AnchorPages,MATCH(Q7,AnchorPages,1)))))*G7+N(Scope!$S7)*AssessPerModel)*(1-N7))</f>
        <v>294</v>
      </c>
      <c r="AH7" s="22" t="n">
        <f aca="false">IF(C7=0,0,AB7*IFERROR(INDEX(SecHrs,MATCH(Scope!$Y7,SecNames,0)),0)+N(Scope!$Z7)*SchedHrs+N(Scope!$AA7)*GroupHrs+HandoverHrs)</f>
        <v>231</v>
      </c>
      <c r="AI7" s="22" t="n">
        <f aca="false">AB7*IFERROR(INDEX(AIHrs,MATCH(Scope!$AB7,AINames,0)),0)</f>
        <v>128</v>
      </c>
      <c r="AJ7" s="22" t="n">
        <f aca="false">IF(AND(C7=1,MAX(N7,O7,P7,AutoSIT,AutoUAT,AutoDep)&gt;0),AutoSetupHrs,0)</f>
        <v>0</v>
      </c>
      <c r="AK7" s="22" t="n">
        <f aca="false">AA7+AF7+AG7+AH7+AI7+AJ7</f>
        <v>6616.3044134375</v>
      </c>
      <c r="AL7" s="22" t="n">
        <f aca="false">AA7+AF7</f>
        <v>5963.3044134375</v>
      </c>
      <c r="AM7" s="29" t="n">
        <f aca="false">IF(C7=0,0,MIN(5,MAX(1,INT(N(Scope!$G7)))))</f>
        <v>1</v>
      </c>
      <c r="AN7" s="32" t="n">
        <f aca="false">IF(C7=0,0,IFERROR(INDEX(ConfPct,MATCH(Scope!$AH7,ConfNames,0)),MAX(ConfPct)))</f>
        <v>0.15</v>
      </c>
      <c r="AO7" s="22" t="n">
        <f aca="false">IF(SUM($AL$7:$AL$26)&gt;0,AL7/SUM($AL$7:$AL$26)*ProgSharedHrs,0)</f>
        <v>3233.60117817739</v>
      </c>
      <c r="AP7" s="22" t="n">
        <f aca="false">AK7+AO7</f>
        <v>9849.90559161489</v>
      </c>
      <c r="AQ7" s="22" t="n">
        <f aca="false">AP7*AN7</f>
        <v>1477.48583874223</v>
      </c>
      <c r="AR7" s="29" t="n">
        <f aca="false">IF(C7=0,0,IF(OR(ABS(N(Scope!$L7)+N(Scope!$M7)+N(Scope!$N7)+N(Scope!$O7)-1)&gt;0.001,AND(N(Scope!$X7)&gt;0,ABS(N(Scope!$T7)+N(Scope!$U7)+N(Scope!$V7)+N(Scope!$W7)-1)&gt;0.001)),1,0))</f>
        <v>0</v>
      </c>
      <c r="AS7" s="29" t="n">
        <f aca="false">IF(AND(C7=1,N(Scope!$P7)+N(Scope!$Q7)&gt;1),1,0)</f>
        <v>0</v>
      </c>
      <c r="AT7" s="29" t="n">
        <f aca="false">IF(AND(C7=1,OR(D7="Unmapped",E7="Unmapped")),1,0)</f>
        <v>0</v>
      </c>
      <c r="AU7" s="29" t="n">
        <f aca="false">IF(AND(C7=1,N(Scope!$AC7)&gt;0,ROUND(N(Scope!$AC7)-F7,4)&lt;&gt;0,Scope!$AD7=""),1,0)</f>
        <v>0</v>
      </c>
      <c r="AV7" s="29" t="n">
        <f aca="false">IF(AND(C7=1,OR(N(Scope!$I7)&lt;1,N(Scope!$X7)&lt;1)),1,0)</f>
        <v>0</v>
      </c>
    </row>
    <row r="8" customFormat="false" ht="15" hidden="false" customHeight="false" outlineLevel="0" collapsed="false">
      <c r="A8" s="9" t="n">
        <f aca="false">Scope!$A8</f>
        <v>2</v>
      </c>
      <c r="B8" s="9" t="str">
        <f aca="false">IF(Scope!$B8="","",Scope!$B8)</f>
        <v>Sales Tableau to Power BI</v>
      </c>
      <c r="C8" s="29" t="n">
        <f aca="false">IF(AND(Scope!$C8&lt;&gt;"",Scope!$D8&lt;&gt;"",N(Scope!$H8)&gt;0),1,0)</f>
        <v>1</v>
      </c>
      <c r="D8" s="9" t="str">
        <f aca="false">IF(C8=0,"",IFERROR(INDEX(ToolArch,MATCH(Scope!$C8,ToolNames,0)),"Unmapped"))</f>
        <v>Modern visual / self-service</v>
      </c>
      <c r="E8" s="9" t="str">
        <f aca="false">IF(C8=0,"",IFERROR(INDEX(ToolArch,MATCH(Scope!$D8,ToolNames,0)),"Unmapped"))</f>
        <v>Modern visual / self-service</v>
      </c>
      <c r="F8" s="50" t="n">
        <f aca="false">IF(C8=0,0,IFERROR(INDEX(KnownFactor,MATCH(Scope!$C8&amp;"|"&amp;Scope!$D8,KnownKey,0)),IFERROR(INDEX(ArchFactor,MATCH(D8,ArchNames,0),MATCH(E8,ArchNames,0)),1)))</f>
        <v>0.95</v>
      </c>
      <c r="G8" s="50" t="n">
        <f aca="false">IF(C8=0,0,IF(N(Scope!$AC8)&gt;0,MIN(FactorMax,MAX(FactorMin,Scope!$AC8)),F8))</f>
        <v>0.95</v>
      </c>
      <c r="H8" s="9" t="str">
        <f aca="false">IF(C8=0,"",IFERROR(INDEX(ApproachMatrix,MATCH(D8,ArchNames,0),MATCH(E8,ArchNames,0)),"Redesign"))</f>
        <v>Translate</v>
      </c>
      <c r="I8" s="32" t="n">
        <f aca="false">IF(C8=0,0,IFERROR(INDEX(ApproachShares,MATCH(H8,ApproachNames,0)),1))</f>
        <v>0.4</v>
      </c>
      <c r="J8" s="29" t="n">
        <f aca="false">IF(AND(C8=1,Scope!$E8&lt;&gt;"",Scope!$F8&lt;&gt;"",Scope!$E8&lt;&gt;Scope!$F8),1,0)</f>
        <v>1</v>
      </c>
      <c r="K8" s="50" t="n">
        <f aca="false">1+J8*N(Scope!$K8)*DPRepUplift</f>
        <v>1.025</v>
      </c>
      <c r="L8" s="50" t="n">
        <f aca="false">1+J8*DPModelUplift</f>
        <v>1.15</v>
      </c>
      <c r="M8" s="50" t="n">
        <f aca="false">1+N(Scope!$J8)*(PaginatedFactor-1)</f>
        <v>1</v>
      </c>
      <c r="N8" s="23" t="n">
        <f aca="false">IF(Scope!$AE8="",AutoAssess,Scope!$AE8)*CapAssess</f>
        <v>0</v>
      </c>
      <c r="O8" s="23" t="n">
        <f aca="false">IF(Scope!$AF8="",AutoSem,Scope!$AF8)*CapSem</f>
        <v>0</v>
      </c>
      <c r="P8" s="23" t="n">
        <f aca="false">IF(Scope!$AG8="",AutoRep,Scope!$AG8)*CapRep</f>
        <v>0</v>
      </c>
      <c r="Q8" s="22" t="n">
        <f aca="false">C8*N(Scope!$H8)*N(Scope!$I8)</f>
        <v>500</v>
      </c>
      <c r="R8" s="51" t="n">
        <f aca="false">C8*N(Scope!$H8)*MAX(0,1-N(Scope!$P8)-N(Scope!$Q8))</f>
        <v>175</v>
      </c>
      <c r="S8" s="51" t="n">
        <f aca="false">R8*N(Scope!$R8)</f>
        <v>17.5</v>
      </c>
      <c r="T8" s="51" t="n">
        <f aca="false">R8-S8</f>
        <v>157.5</v>
      </c>
      <c r="U8" s="51" t="n">
        <f aca="false">T8*N(Scope!$I8)</f>
        <v>315</v>
      </c>
      <c r="V8" s="51" t="n">
        <f aca="false">S8*N(Scope!$I8)</f>
        <v>35</v>
      </c>
      <c r="W8" s="51" t="n">
        <f aca="false">C8*N(Scope!$H8)*N(Scope!$Q8)</f>
        <v>12.5</v>
      </c>
      <c r="X8" s="52" t="n">
        <f aca="false">N(Scope!$L8)*INDEX(HrsPage,1)+N(Scope!$M8)*INDEX(HrsPage,2)+N(Scope!$N8)*INDEX(HrsPage,3)+N(Scope!$O8)*INDEX(HrsPage,4)</f>
        <v>5.8</v>
      </c>
      <c r="Y8" s="22" t="n">
        <f aca="false">(U8*X8*K8*M8+V8*HrsDerived)*G8</f>
        <v>1812.29125</v>
      </c>
      <c r="Z8" s="22" t="n">
        <f aca="false">W8*MergeHrs*G8</f>
        <v>23.75</v>
      </c>
      <c r="AA8" s="22" t="n">
        <f aca="false">Y8*(1-LearnAvg)*(1-P8)+Z8</f>
        <v>1632.158484375</v>
      </c>
      <c r="AB8" s="51" t="n">
        <f aca="false">C8*N(Scope!$X8)</f>
        <v>10</v>
      </c>
      <c r="AC8" s="51" t="n">
        <f aca="false">N(Scope!$T8)*INDEX(ModelHrs,1)+N(Scope!$U8)*INDEX(ModelHrs,2)+N(Scope!$V8)*INDEX(ModelHrs,3)+N(Scope!$W8)*INDEX(ModelHrs,4)</f>
        <v>122</v>
      </c>
      <c r="AD8" s="22" t="n">
        <f aca="false">AB8*AC8*I8*G8*L8</f>
        <v>533.14</v>
      </c>
      <c r="AE8" s="22" t="n">
        <f aca="false">C8*MAX(0,N(Scope!$S8)-N(Scope!$X8))*ConsolHrs*G8</f>
        <v>456</v>
      </c>
      <c r="AF8" s="22" t="n">
        <f aca="false">(AD8+AE8)*(1-O8)</f>
        <v>989.14</v>
      </c>
      <c r="AG8" s="22" t="n">
        <f aca="false">IF(C8=0,0,(IF(Q8&lt;=INDEX(AnchorPages,1),INDEX(AnchorAnalysis,1),IF(Q8&gt;=INDEX(AnchorPages,5),INDEX(AnchorAnalysis,5)+(Q8-INDEX(AnchorPages,5))*(INDEX(AnchorAnalysis,5)-INDEX(AnchorAnalysis,4))/(INDEX(AnchorPages,5)-INDEX(AnchorPages,4)),INDEX(AnchorAnalysis,MATCH(Q8,AnchorPages,1))+(Q8-INDEX(AnchorPages,MATCH(Q8,AnchorPages,1)))*(INDEX(AnchorAnalysis,MATCH(Q8,AnchorPages,1)+1)-INDEX(AnchorAnalysis,MATCH(Q8,AnchorPages,1)))/(INDEX(AnchorPages,MATCH(Q8,AnchorPages,1)+1)-INDEX(AnchorPages,MATCH(Q8,AnchorPages,1)))))*G8+N(Scope!$S8)*AssessPerModel)*(1-N8))</f>
        <v>312</v>
      </c>
      <c r="AH8" s="22" t="n">
        <f aca="false">IF(C8=0,0,AB8*IFERROR(INDEX(SecHrs,MATCH(Scope!$Y8,SecNames,0)),0)+N(Scope!$Z8)*SchedHrs+N(Scope!$AA8)*GroupHrs+HandoverHrs)</f>
        <v>120</v>
      </c>
      <c r="AI8" s="22" t="n">
        <f aca="false">AB8*IFERROR(INDEX(AIHrs,MATCH(Scope!$AB8,AINames,0)),0)</f>
        <v>0</v>
      </c>
      <c r="AJ8" s="22" t="n">
        <f aca="false">IF(AND(C8=1,MAX(N8,O8,P8,AutoSIT,AutoUAT,AutoDep)&gt;0),AutoSetupHrs,0)</f>
        <v>0</v>
      </c>
      <c r="AK8" s="22" t="n">
        <f aca="false">AA8+AF8+AG8+AH8+AI8+AJ8</f>
        <v>3053.298484375</v>
      </c>
      <c r="AL8" s="22" t="n">
        <f aca="false">AA8+AF8</f>
        <v>2621.298484375</v>
      </c>
      <c r="AM8" s="29" t="n">
        <f aca="false">IF(C8=0,0,MIN(5,MAX(1,INT(N(Scope!$G8)))))</f>
        <v>2</v>
      </c>
      <c r="AN8" s="32" t="n">
        <f aca="false">IF(C8=0,0,IFERROR(INDEX(ConfPct,MATCH(Scope!$AH8,ConfNames,0)),MAX(ConfPct)))</f>
        <v>0.25</v>
      </c>
      <c r="AO8" s="22" t="n">
        <f aca="false">IF(SUM($AL$7:$AL$26)&gt;0,AL8/SUM($AL$7:$AL$26)*ProgSharedHrs,0)</f>
        <v>1421.39882182261</v>
      </c>
      <c r="AP8" s="22" t="n">
        <f aca="false">AK8+AO8</f>
        <v>4474.69730619761</v>
      </c>
      <c r="AQ8" s="22" t="n">
        <f aca="false">AP8*AN8</f>
        <v>1118.6743265494</v>
      </c>
      <c r="AR8" s="29" t="n">
        <f aca="false">IF(C8=0,0,IF(OR(ABS(N(Scope!$L8)+N(Scope!$M8)+N(Scope!$N8)+N(Scope!$O8)-1)&gt;0.001,AND(N(Scope!$X8)&gt;0,ABS(N(Scope!$T8)+N(Scope!$U8)+N(Scope!$V8)+N(Scope!$W8)-1)&gt;0.001)),1,0))</f>
        <v>0</v>
      </c>
      <c r="AS8" s="29" t="n">
        <f aca="false">IF(AND(C8=1,N(Scope!$P8)+N(Scope!$Q8)&gt;1),1,0)</f>
        <v>0</v>
      </c>
      <c r="AT8" s="29" t="n">
        <f aca="false">IF(AND(C8=1,OR(D8="Unmapped",E8="Unmapped")),1,0)</f>
        <v>0</v>
      </c>
      <c r="AU8" s="29" t="n">
        <f aca="false">IF(AND(C8=1,N(Scope!$AC8)&gt;0,ROUND(N(Scope!$AC8)-F8,4)&lt;&gt;0,Scope!$AD8=""),1,0)</f>
        <v>0</v>
      </c>
      <c r="AV8" s="29" t="n">
        <f aca="false">IF(AND(C8=1,OR(N(Scope!$I8)&lt;1,N(Scope!$X8)&lt;1)),1,0)</f>
        <v>0</v>
      </c>
    </row>
    <row r="9" customFormat="false" ht="15" hidden="false" customHeight="false" outlineLevel="0" collapsed="false">
      <c r="A9" s="9" t="n">
        <f aca="false">Scope!$A9</f>
        <v>3</v>
      </c>
      <c r="B9" s="9" t="str">
        <f aca="false">IF(Scope!$B9="","",Scope!$B9)</f>
        <v/>
      </c>
      <c r="C9" s="29" t="n">
        <f aca="false">IF(AND(Scope!$C9&lt;&gt;"",Scope!$D9&lt;&gt;"",N(Scope!$H9)&gt;0),1,0)</f>
        <v>0</v>
      </c>
      <c r="D9" s="9" t="str">
        <f aca="false">IF(C9=0,"",IFERROR(INDEX(ToolArch,MATCH(Scope!$C9,ToolNames,0)),"Unmapped"))</f>
        <v/>
      </c>
      <c r="E9" s="9" t="str">
        <f aca="false">IF(C9=0,"",IFERROR(INDEX(ToolArch,MATCH(Scope!$D9,ToolNames,0)),"Unmapped"))</f>
        <v/>
      </c>
      <c r="F9" s="50" t="n">
        <f aca="false">IF(C9=0,0,IFERROR(INDEX(KnownFactor,MATCH(Scope!$C9&amp;"|"&amp;Scope!$D9,KnownKey,0)),IFERROR(INDEX(ArchFactor,MATCH(D9,ArchNames,0),MATCH(E9,ArchNames,0)),1)))</f>
        <v>0</v>
      </c>
      <c r="G9" s="50" t="n">
        <f aca="false">IF(C9=0,0,IF(N(Scope!$AC9)&gt;0,MIN(FactorMax,MAX(FactorMin,Scope!$AC9)),F9))</f>
        <v>0</v>
      </c>
      <c r="H9" s="9" t="str">
        <f aca="false">IF(C9=0,"",IFERROR(INDEX(ApproachMatrix,MATCH(D9,ArchNames,0),MATCH(E9,ArchNames,0)),"Redesign"))</f>
        <v/>
      </c>
      <c r="I9" s="32" t="n">
        <f aca="false">IF(C9=0,0,IFERROR(INDEX(ApproachShares,MATCH(H9,ApproachNames,0)),1))</f>
        <v>0</v>
      </c>
      <c r="J9" s="29" t="n">
        <f aca="false">IF(AND(C9=1,Scope!$E9&lt;&gt;"",Scope!$F9&lt;&gt;"",Scope!$E9&lt;&gt;Scope!$F9),1,0)</f>
        <v>0</v>
      </c>
      <c r="K9" s="50" t="n">
        <f aca="false">1+J9*N(Scope!$K9)*DPRepUplift</f>
        <v>1</v>
      </c>
      <c r="L9" s="50" t="n">
        <f aca="false">1+J9*DPModelUplift</f>
        <v>1</v>
      </c>
      <c r="M9" s="50" t="n">
        <f aca="false">1+N(Scope!$J9)*(PaginatedFactor-1)</f>
        <v>1</v>
      </c>
      <c r="N9" s="23" t="n">
        <f aca="false">IF(Scope!$AE9="",AutoAssess,Scope!$AE9)*CapAssess</f>
        <v>0</v>
      </c>
      <c r="O9" s="23" t="n">
        <f aca="false">IF(Scope!$AF9="",AutoSem,Scope!$AF9)*CapSem</f>
        <v>0</v>
      </c>
      <c r="P9" s="23" t="n">
        <f aca="false">IF(Scope!$AG9="",AutoRep,Scope!$AG9)*CapRep</f>
        <v>0</v>
      </c>
      <c r="Q9" s="22" t="n">
        <f aca="false">C9*N(Scope!$H9)*N(Scope!$I9)</f>
        <v>0</v>
      </c>
      <c r="R9" s="51" t="n">
        <f aca="false">C9*N(Scope!$H9)*MAX(0,1-N(Scope!$P9)-N(Scope!$Q9))</f>
        <v>0</v>
      </c>
      <c r="S9" s="51" t="n">
        <f aca="false">R9*N(Scope!$R9)</f>
        <v>0</v>
      </c>
      <c r="T9" s="51" t="n">
        <f aca="false">R9-S9</f>
        <v>0</v>
      </c>
      <c r="U9" s="51" t="n">
        <f aca="false">T9*N(Scope!$I9)</f>
        <v>0</v>
      </c>
      <c r="V9" s="51" t="n">
        <f aca="false">S9*N(Scope!$I9)</f>
        <v>0</v>
      </c>
      <c r="W9" s="51" t="n">
        <f aca="false">C9*N(Scope!$H9)*N(Scope!$Q9)</f>
        <v>0</v>
      </c>
      <c r="X9" s="52" t="n">
        <f aca="false">N(Scope!$L9)*INDEX(HrsPage,1)+N(Scope!$M9)*INDEX(HrsPage,2)+N(Scope!$N9)*INDEX(HrsPage,3)+N(Scope!$O9)*INDEX(HrsPage,4)</f>
        <v>0</v>
      </c>
      <c r="Y9" s="22" t="n">
        <f aca="false">(U9*X9*K9*M9+V9*HrsDerived)*G9</f>
        <v>0</v>
      </c>
      <c r="Z9" s="22" t="n">
        <f aca="false">W9*MergeHrs*G9</f>
        <v>0</v>
      </c>
      <c r="AA9" s="22" t="n">
        <f aca="false">Y9*(1-LearnAvg)*(1-P9)+Z9</f>
        <v>0</v>
      </c>
      <c r="AB9" s="51" t="n">
        <f aca="false">C9*N(Scope!$X9)</f>
        <v>0</v>
      </c>
      <c r="AC9" s="51" t="n">
        <f aca="false">N(Scope!$T9)*INDEX(ModelHrs,1)+N(Scope!$U9)*INDEX(ModelHrs,2)+N(Scope!$V9)*INDEX(ModelHrs,3)+N(Scope!$W9)*INDEX(ModelHrs,4)</f>
        <v>0</v>
      </c>
      <c r="AD9" s="22" t="n">
        <f aca="false">AB9*AC9*I9*G9*L9</f>
        <v>0</v>
      </c>
      <c r="AE9" s="22" t="n">
        <f aca="false">C9*MAX(0,N(Scope!$S9)-N(Scope!$X9))*ConsolHrs*G9</f>
        <v>0</v>
      </c>
      <c r="AF9" s="22" t="n">
        <f aca="false">(AD9+AE9)*(1-O9)</f>
        <v>0</v>
      </c>
      <c r="AG9" s="22" t="n">
        <f aca="false">IF(C9=0,0,(IF(Q9&lt;=INDEX(AnchorPages,1),INDEX(AnchorAnalysis,1),IF(Q9&gt;=INDEX(AnchorPages,5),INDEX(AnchorAnalysis,5)+(Q9-INDEX(AnchorPages,5))*(INDEX(AnchorAnalysis,5)-INDEX(AnchorAnalysis,4))/(INDEX(AnchorPages,5)-INDEX(AnchorPages,4)),INDEX(AnchorAnalysis,MATCH(Q9,AnchorPages,1))+(Q9-INDEX(AnchorPages,MATCH(Q9,AnchorPages,1)))*(INDEX(AnchorAnalysis,MATCH(Q9,AnchorPages,1)+1)-INDEX(AnchorAnalysis,MATCH(Q9,AnchorPages,1)))/(INDEX(AnchorPages,MATCH(Q9,AnchorPages,1)+1)-INDEX(AnchorPages,MATCH(Q9,AnchorPages,1)))))*G9+N(Scope!$S9)*AssessPerModel)*(1-N9))</f>
        <v>0</v>
      </c>
      <c r="AH9" s="22" t="n">
        <f aca="false">IF(C9=0,0,AB9*IFERROR(INDEX(SecHrs,MATCH(Scope!$Y9,SecNames,0)),0)+N(Scope!$Z9)*SchedHrs+N(Scope!$AA9)*GroupHrs+HandoverHrs)</f>
        <v>0</v>
      </c>
      <c r="AI9" s="22" t="n">
        <f aca="false">AB9*IFERROR(INDEX(AIHrs,MATCH(Scope!$AB9,AINames,0)),0)</f>
        <v>0</v>
      </c>
      <c r="AJ9" s="22" t="n">
        <f aca="false">IF(AND(C9=1,MAX(N9,O9,P9,AutoSIT,AutoUAT,AutoDep)&gt;0),AutoSetupHrs,0)</f>
        <v>0</v>
      </c>
      <c r="AK9" s="22" t="n">
        <f aca="false">AA9+AF9+AG9+AH9+AI9+AJ9</f>
        <v>0</v>
      </c>
      <c r="AL9" s="22" t="n">
        <f aca="false">AA9+AF9</f>
        <v>0</v>
      </c>
      <c r="AM9" s="29" t="n">
        <f aca="false">IF(C9=0,0,MIN(5,MAX(1,INT(N(Scope!$G9)))))</f>
        <v>0</v>
      </c>
      <c r="AN9" s="32" t="n">
        <f aca="false">IF(C9=0,0,IFERROR(INDEX(ConfPct,MATCH(Scope!$AH9,ConfNames,0)),MAX(ConfPct)))</f>
        <v>0</v>
      </c>
      <c r="AO9" s="22" t="n">
        <f aca="false">IF(SUM($AL$7:$AL$26)&gt;0,AL9/SUM($AL$7:$AL$26)*ProgSharedHrs,0)</f>
        <v>0</v>
      </c>
      <c r="AP9" s="22" t="n">
        <f aca="false">AK9+AO9</f>
        <v>0</v>
      </c>
      <c r="AQ9" s="22" t="n">
        <f aca="false">AP9*AN9</f>
        <v>0</v>
      </c>
      <c r="AR9" s="29" t="n">
        <f aca="false">IF(C9=0,0,IF(OR(ABS(N(Scope!$L9)+N(Scope!$M9)+N(Scope!$N9)+N(Scope!$O9)-1)&gt;0.001,AND(N(Scope!$X9)&gt;0,ABS(N(Scope!$T9)+N(Scope!$U9)+N(Scope!$V9)+N(Scope!$W9)-1)&gt;0.001)),1,0))</f>
        <v>0</v>
      </c>
      <c r="AS9" s="29" t="n">
        <f aca="false">IF(AND(C9=1,N(Scope!$P9)+N(Scope!$Q9)&gt;1),1,0)</f>
        <v>0</v>
      </c>
      <c r="AT9" s="29" t="n">
        <f aca="false">IF(AND(C9=1,OR(D9="Unmapped",E9="Unmapped")),1,0)</f>
        <v>0</v>
      </c>
      <c r="AU9" s="29" t="n">
        <f aca="false">IF(AND(C9=1,N(Scope!$AC9)&gt;0,ROUND(N(Scope!$AC9)-F9,4)&lt;&gt;0,Scope!$AD9=""),1,0)</f>
        <v>0</v>
      </c>
      <c r="AV9" s="29" t="n">
        <f aca="false">IF(AND(C9=1,OR(N(Scope!$I9)&lt;1,N(Scope!$X9)&lt;1)),1,0)</f>
        <v>0</v>
      </c>
    </row>
    <row r="10" customFormat="false" ht="15" hidden="false" customHeight="false" outlineLevel="0" collapsed="false">
      <c r="A10" s="9" t="n">
        <f aca="false">Scope!$A10</f>
        <v>4</v>
      </c>
      <c r="B10" s="9" t="str">
        <f aca="false">IF(Scope!$B10="","",Scope!$B10)</f>
        <v/>
      </c>
      <c r="C10" s="29" t="n">
        <f aca="false">IF(AND(Scope!$C10&lt;&gt;"",Scope!$D10&lt;&gt;"",N(Scope!$H10)&gt;0),1,0)</f>
        <v>0</v>
      </c>
      <c r="D10" s="9" t="str">
        <f aca="false">IF(C10=0,"",IFERROR(INDEX(ToolArch,MATCH(Scope!$C10,ToolNames,0)),"Unmapped"))</f>
        <v/>
      </c>
      <c r="E10" s="9" t="str">
        <f aca="false">IF(C10=0,"",IFERROR(INDEX(ToolArch,MATCH(Scope!$D10,ToolNames,0)),"Unmapped"))</f>
        <v/>
      </c>
      <c r="F10" s="50" t="n">
        <f aca="false">IF(C10=0,0,IFERROR(INDEX(KnownFactor,MATCH(Scope!$C10&amp;"|"&amp;Scope!$D10,KnownKey,0)),IFERROR(INDEX(ArchFactor,MATCH(D10,ArchNames,0),MATCH(E10,ArchNames,0)),1)))</f>
        <v>0</v>
      </c>
      <c r="G10" s="50" t="n">
        <f aca="false">IF(C10=0,0,IF(N(Scope!$AC10)&gt;0,MIN(FactorMax,MAX(FactorMin,Scope!$AC10)),F10))</f>
        <v>0</v>
      </c>
      <c r="H10" s="9" t="str">
        <f aca="false">IF(C10=0,"",IFERROR(INDEX(ApproachMatrix,MATCH(D10,ArchNames,0),MATCH(E10,ArchNames,0)),"Redesign"))</f>
        <v/>
      </c>
      <c r="I10" s="32" t="n">
        <f aca="false">IF(C10=0,0,IFERROR(INDEX(ApproachShares,MATCH(H10,ApproachNames,0)),1))</f>
        <v>0</v>
      </c>
      <c r="J10" s="29" t="n">
        <f aca="false">IF(AND(C10=1,Scope!$E10&lt;&gt;"",Scope!$F10&lt;&gt;"",Scope!$E10&lt;&gt;Scope!$F10),1,0)</f>
        <v>0</v>
      </c>
      <c r="K10" s="50" t="n">
        <f aca="false">1+J10*N(Scope!$K10)*DPRepUplift</f>
        <v>1</v>
      </c>
      <c r="L10" s="50" t="n">
        <f aca="false">1+J10*DPModelUplift</f>
        <v>1</v>
      </c>
      <c r="M10" s="50" t="n">
        <f aca="false">1+N(Scope!$J10)*(PaginatedFactor-1)</f>
        <v>1</v>
      </c>
      <c r="N10" s="23" t="n">
        <f aca="false">IF(Scope!$AE10="",AutoAssess,Scope!$AE10)*CapAssess</f>
        <v>0</v>
      </c>
      <c r="O10" s="23" t="n">
        <f aca="false">IF(Scope!$AF10="",AutoSem,Scope!$AF10)*CapSem</f>
        <v>0</v>
      </c>
      <c r="P10" s="23" t="n">
        <f aca="false">IF(Scope!$AG10="",AutoRep,Scope!$AG10)*CapRep</f>
        <v>0</v>
      </c>
      <c r="Q10" s="22" t="n">
        <f aca="false">C10*N(Scope!$H10)*N(Scope!$I10)</f>
        <v>0</v>
      </c>
      <c r="R10" s="51" t="n">
        <f aca="false">C10*N(Scope!$H10)*MAX(0,1-N(Scope!$P10)-N(Scope!$Q10))</f>
        <v>0</v>
      </c>
      <c r="S10" s="51" t="n">
        <f aca="false">R10*N(Scope!$R10)</f>
        <v>0</v>
      </c>
      <c r="T10" s="51" t="n">
        <f aca="false">R10-S10</f>
        <v>0</v>
      </c>
      <c r="U10" s="51" t="n">
        <f aca="false">T10*N(Scope!$I10)</f>
        <v>0</v>
      </c>
      <c r="V10" s="51" t="n">
        <f aca="false">S10*N(Scope!$I10)</f>
        <v>0</v>
      </c>
      <c r="W10" s="51" t="n">
        <f aca="false">C10*N(Scope!$H10)*N(Scope!$Q10)</f>
        <v>0</v>
      </c>
      <c r="X10" s="52" t="n">
        <f aca="false">N(Scope!$L10)*INDEX(HrsPage,1)+N(Scope!$M10)*INDEX(HrsPage,2)+N(Scope!$N10)*INDEX(HrsPage,3)+N(Scope!$O10)*INDEX(HrsPage,4)</f>
        <v>0</v>
      </c>
      <c r="Y10" s="22" t="n">
        <f aca="false">(U10*X10*K10*M10+V10*HrsDerived)*G10</f>
        <v>0</v>
      </c>
      <c r="Z10" s="22" t="n">
        <f aca="false">W10*MergeHrs*G10</f>
        <v>0</v>
      </c>
      <c r="AA10" s="22" t="n">
        <f aca="false">Y10*(1-LearnAvg)*(1-P10)+Z10</f>
        <v>0</v>
      </c>
      <c r="AB10" s="51" t="n">
        <f aca="false">C10*N(Scope!$X10)</f>
        <v>0</v>
      </c>
      <c r="AC10" s="51" t="n">
        <f aca="false">N(Scope!$T10)*INDEX(ModelHrs,1)+N(Scope!$U10)*INDEX(ModelHrs,2)+N(Scope!$V10)*INDEX(ModelHrs,3)+N(Scope!$W10)*INDEX(ModelHrs,4)</f>
        <v>0</v>
      </c>
      <c r="AD10" s="22" t="n">
        <f aca="false">AB10*AC10*I10*G10*L10</f>
        <v>0</v>
      </c>
      <c r="AE10" s="22" t="n">
        <f aca="false">C10*MAX(0,N(Scope!$S10)-N(Scope!$X10))*ConsolHrs*G10</f>
        <v>0</v>
      </c>
      <c r="AF10" s="22" t="n">
        <f aca="false">(AD10+AE10)*(1-O10)</f>
        <v>0</v>
      </c>
      <c r="AG10" s="22" t="n">
        <f aca="false">IF(C10=0,0,(IF(Q10&lt;=INDEX(AnchorPages,1),INDEX(AnchorAnalysis,1),IF(Q10&gt;=INDEX(AnchorPages,5),INDEX(AnchorAnalysis,5)+(Q10-INDEX(AnchorPages,5))*(INDEX(AnchorAnalysis,5)-INDEX(AnchorAnalysis,4))/(INDEX(AnchorPages,5)-INDEX(AnchorPages,4)),INDEX(AnchorAnalysis,MATCH(Q10,AnchorPages,1))+(Q10-INDEX(AnchorPages,MATCH(Q10,AnchorPages,1)))*(INDEX(AnchorAnalysis,MATCH(Q10,AnchorPages,1)+1)-INDEX(AnchorAnalysis,MATCH(Q10,AnchorPages,1)))/(INDEX(AnchorPages,MATCH(Q10,AnchorPages,1)+1)-INDEX(AnchorPages,MATCH(Q10,AnchorPages,1)))))*G10+N(Scope!$S10)*AssessPerModel)*(1-N10))</f>
        <v>0</v>
      </c>
      <c r="AH10" s="22" t="n">
        <f aca="false">IF(C10=0,0,AB10*IFERROR(INDEX(SecHrs,MATCH(Scope!$Y10,SecNames,0)),0)+N(Scope!$Z10)*SchedHrs+N(Scope!$AA10)*GroupHrs+HandoverHrs)</f>
        <v>0</v>
      </c>
      <c r="AI10" s="22" t="n">
        <f aca="false">AB10*IFERROR(INDEX(AIHrs,MATCH(Scope!$AB10,AINames,0)),0)</f>
        <v>0</v>
      </c>
      <c r="AJ10" s="22" t="n">
        <f aca="false">IF(AND(C10=1,MAX(N10,O10,P10,AutoSIT,AutoUAT,AutoDep)&gt;0),AutoSetupHrs,0)</f>
        <v>0</v>
      </c>
      <c r="AK10" s="22" t="n">
        <f aca="false">AA10+AF10+AG10+AH10+AI10+AJ10</f>
        <v>0</v>
      </c>
      <c r="AL10" s="22" t="n">
        <f aca="false">AA10+AF10</f>
        <v>0</v>
      </c>
      <c r="AM10" s="29" t="n">
        <f aca="false">IF(C10=0,0,MIN(5,MAX(1,INT(N(Scope!$G10)))))</f>
        <v>0</v>
      </c>
      <c r="AN10" s="32" t="n">
        <f aca="false">IF(C10=0,0,IFERROR(INDEX(ConfPct,MATCH(Scope!$AH10,ConfNames,0)),MAX(ConfPct)))</f>
        <v>0</v>
      </c>
      <c r="AO10" s="22" t="n">
        <f aca="false">IF(SUM($AL$7:$AL$26)&gt;0,AL10/SUM($AL$7:$AL$26)*ProgSharedHrs,0)</f>
        <v>0</v>
      </c>
      <c r="AP10" s="22" t="n">
        <f aca="false">AK10+AO10</f>
        <v>0</v>
      </c>
      <c r="AQ10" s="22" t="n">
        <f aca="false">AP10*AN10</f>
        <v>0</v>
      </c>
      <c r="AR10" s="29" t="n">
        <f aca="false">IF(C10=0,0,IF(OR(ABS(N(Scope!$L10)+N(Scope!$M10)+N(Scope!$N10)+N(Scope!$O10)-1)&gt;0.001,AND(N(Scope!$X10)&gt;0,ABS(N(Scope!$T10)+N(Scope!$U10)+N(Scope!$V10)+N(Scope!$W10)-1)&gt;0.001)),1,0))</f>
        <v>0</v>
      </c>
      <c r="AS10" s="29" t="n">
        <f aca="false">IF(AND(C10=1,N(Scope!$P10)+N(Scope!$Q10)&gt;1),1,0)</f>
        <v>0</v>
      </c>
      <c r="AT10" s="29" t="n">
        <f aca="false">IF(AND(C10=1,OR(D10="Unmapped",E10="Unmapped")),1,0)</f>
        <v>0</v>
      </c>
      <c r="AU10" s="29" t="n">
        <f aca="false">IF(AND(C10=1,N(Scope!$AC10)&gt;0,ROUND(N(Scope!$AC10)-F10,4)&lt;&gt;0,Scope!$AD10=""),1,0)</f>
        <v>0</v>
      </c>
      <c r="AV10" s="29" t="n">
        <f aca="false">IF(AND(C10=1,OR(N(Scope!$I10)&lt;1,N(Scope!$X10)&lt;1)),1,0)</f>
        <v>0</v>
      </c>
    </row>
    <row r="11" customFormat="false" ht="15" hidden="false" customHeight="false" outlineLevel="0" collapsed="false">
      <c r="A11" s="9" t="n">
        <f aca="false">Scope!$A11</f>
        <v>5</v>
      </c>
      <c r="B11" s="9" t="str">
        <f aca="false">IF(Scope!$B11="","",Scope!$B11)</f>
        <v/>
      </c>
      <c r="C11" s="29" t="n">
        <f aca="false">IF(AND(Scope!$C11&lt;&gt;"",Scope!$D11&lt;&gt;"",N(Scope!$H11)&gt;0),1,0)</f>
        <v>0</v>
      </c>
      <c r="D11" s="9" t="str">
        <f aca="false">IF(C11=0,"",IFERROR(INDEX(ToolArch,MATCH(Scope!$C11,ToolNames,0)),"Unmapped"))</f>
        <v/>
      </c>
      <c r="E11" s="9" t="str">
        <f aca="false">IF(C11=0,"",IFERROR(INDEX(ToolArch,MATCH(Scope!$D11,ToolNames,0)),"Unmapped"))</f>
        <v/>
      </c>
      <c r="F11" s="50" t="n">
        <f aca="false">IF(C11=0,0,IFERROR(INDEX(KnownFactor,MATCH(Scope!$C11&amp;"|"&amp;Scope!$D11,KnownKey,0)),IFERROR(INDEX(ArchFactor,MATCH(D11,ArchNames,0),MATCH(E11,ArchNames,0)),1)))</f>
        <v>0</v>
      </c>
      <c r="G11" s="50" t="n">
        <f aca="false">IF(C11=0,0,IF(N(Scope!$AC11)&gt;0,MIN(FactorMax,MAX(FactorMin,Scope!$AC11)),F11))</f>
        <v>0</v>
      </c>
      <c r="H11" s="9" t="str">
        <f aca="false">IF(C11=0,"",IFERROR(INDEX(ApproachMatrix,MATCH(D11,ArchNames,0),MATCH(E11,ArchNames,0)),"Redesign"))</f>
        <v/>
      </c>
      <c r="I11" s="32" t="n">
        <f aca="false">IF(C11=0,0,IFERROR(INDEX(ApproachShares,MATCH(H11,ApproachNames,0)),1))</f>
        <v>0</v>
      </c>
      <c r="J11" s="29" t="n">
        <f aca="false">IF(AND(C11=1,Scope!$E11&lt;&gt;"",Scope!$F11&lt;&gt;"",Scope!$E11&lt;&gt;Scope!$F11),1,0)</f>
        <v>0</v>
      </c>
      <c r="K11" s="50" t="n">
        <f aca="false">1+J11*N(Scope!$K11)*DPRepUplift</f>
        <v>1</v>
      </c>
      <c r="L11" s="50" t="n">
        <f aca="false">1+J11*DPModelUplift</f>
        <v>1</v>
      </c>
      <c r="M11" s="50" t="n">
        <f aca="false">1+N(Scope!$J11)*(PaginatedFactor-1)</f>
        <v>1</v>
      </c>
      <c r="N11" s="23" t="n">
        <f aca="false">IF(Scope!$AE11="",AutoAssess,Scope!$AE11)*CapAssess</f>
        <v>0</v>
      </c>
      <c r="O11" s="23" t="n">
        <f aca="false">IF(Scope!$AF11="",AutoSem,Scope!$AF11)*CapSem</f>
        <v>0</v>
      </c>
      <c r="P11" s="23" t="n">
        <f aca="false">IF(Scope!$AG11="",AutoRep,Scope!$AG11)*CapRep</f>
        <v>0</v>
      </c>
      <c r="Q11" s="22" t="n">
        <f aca="false">C11*N(Scope!$H11)*N(Scope!$I11)</f>
        <v>0</v>
      </c>
      <c r="R11" s="51" t="n">
        <f aca="false">C11*N(Scope!$H11)*MAX(0,1-N(Scope!$P11)-N(Scope!$Q11))</f>
        <v>0</v>
      </c>
      <c r="S11" s="51" t="n">
        <f aca="false">R11*N(Scope!$R11)</f>
        <v>0</v>
      </c>
      <c r="T11" s="51" t="n">
        <f aca="false">R11-S11</f>
        <v>0</v>
      </c>
      <c r="U11" s="51" t="n">
        <f aca="false">T11*N(Scope!$I11)</f>
        <v>0</v>
      </c>
      <c r="V11" s="51" t="n">
        <f aca="false">S11*N(Scope!$I11)</f>
        <v>0</v>
      </c>
      <c r="W11" s="51" t="n">
        <f aca="false">C11*N(Scope!$H11)*N(Scope!$Q11)</f>
        <v>0</v>
      </c>
      <c r="X11" s="52" t="n">
        <f aca="false">N(Scope!$L11)*INDEX(HrsPage,1)+N(Scope!$M11)*INDEX(HrsPage,2)+N(Scope!$N11)*INDEX(HrsPage,3)+N(Scope!$O11)*INDEX(HrsPage,4)</f>
        <v>0</v>
      </c>
      <c r="Y11" s="22" t="n">
        <f aca="false">(U11*X11*K11*M11+V11*HrsDerived)*G11</f>
        <v>0</v>
      </c>
      <c r="Z11" s="22" t="n">
        <f aca="false">W11*MergeHrs*G11</f>
        <v>0</v>
      </c>
      <c r="AA11" s="22" t="n">
        <f aca="false">Y11*(1-LearnAvg)*(1-P11)+Z11</f>
        <v>0</v>
      </c>
      <c r="AB11" s="51" t="n">
        <f aca="false">C11*N(Scope!$X11)</f>
        <v>0</v>
      </c>
      <c r="AC11" s="51" t="n">
        <f aca="false">N(Scope!$T11)*INDEX(ModelHrs,1)+N(Scope!$U11)*INDEX(ModelHrs,2)+N(Scope!$V11)*INDEX(ModelHrs,3)+N(Scope!$W11)*INDEX(ModelHrs,4)</f>
        <v>0</v>
      </c>
      <c r="AD11" s="22" t="n">
        <f aca="false">AB11*AC11*I11*G11*L11</f>
        <v>0</v>
      </c>
      <c r="AE11" s="22" t="n">
        <f aca="false">C11*MAX(0,N(Scope!$S11)-N(Scope!$X11))*ConsolHrs*G11</f>
        <v>0</v>
      </c>
      <c r="AF11" s="22" t="n">
        <f aca="false">(AD11+AE11)*(1-O11)</f>
        <v>0</v>
      </c>
      <c r="AG11" s="22" t="n">
        <f aca="false">IF(C11=0,0,(IF(Q11&lt;=INDEX(AnchorPages,1),INDEX(AnchorAnalysis,1),IF(Q11&gt;=INDEX(AnchorPages,5),INDEX(AnchorAnalysis,5)+(Q11-INDEX(AnchorPages,5))*(INDEX(AnchorAnalysis,5)-INDEX(AnchorAnalysis,4))/(INDEX(AnchorPages,5)-INDEX(AnchorPages,4)),INDEX(AnchorAnalysis,MATCH(Q11,AnchorPages,1))+(Q11-INDEX(AnchorPages,MATCH(Q11,AnchorPages,1)))*(INDEX(AnchorAnalysis,MATCH(Q11,AnchorPages,1)+1)-INDEX(AnchorAnalysis,MATCH(Q11,AnchorPages,1)))/(INDEX(AnchorPages,MATCH(Q11,AnchorPages,1)+1)-INDEX(AnchorPages,MATCH(Q11,AnchorPages,1)))))*G11+N(Scope!$S11)*AssessPerModel)*(1-N11))</f>
        <v>0</v>
      </c>
      <c r="AH11" s="22" t="n">
        <f aca="false">IF(C11=0,0,AB11*IFERROR(INDEX(SecHrs,MATCH(Scope!$Y11,SecNames,0)),0)+N(Scope!$Z11)*SchedHrs+N(Scope!$AA11)*GroupHrs+HandoverHrs)</f>
        <v>0</v>
      </c>
      <c r="AI11" s="22" t="n">
        <f aca="false">AB11*IFERROR(INDEX(AIHrs,MATCH(Scope!$AB11,AINames,0)),0)</f>
        <v>0</v>
      </c>
      <c r="AJ11" s="22" t="n">
        <f aca="false">IF(AND(C11=1,MAX(N11,O11,P11,AutoSIT,AutoUAT,AutoDep)&gt;0),AutoSetupHrs,0)</f>
        <v>0</v>
      </c>
      <c r="AK11" s="22" t="n">
        <f aca="false">AA11+AF11+AG11+AH11+AI11+AJ11</f>
        <v>0</v>
      </c>
      <c r="AL11" s="22" t="n">
        <f aca="false">AA11+AF11</f>
        <v>0</v>
      </c>
      <c r="AM11" s="29" t="n">
        <f aca="false">IF(C11=0,0,MIN(5,MAX(1,INT(N(Scope!$G11)))))</f>
        <v>0</v>
      </c>
      <c r="AN11" s="32" t="n">
        <f aca="false">IF(C11=0,0,IFERROR(INDEX(ConfPct,MATCH(Scope!$AH11,ConfNames,0)),MAX(ConfPct)))</f>
        <v>0</v>
      </c>
      <c r="AO11" s="22" t="n">
        <f aca="false">IF(SUM($AL$7:$AL$26)&gt;0,AL11/SUM($AL$7:$AL$26)*ProgSharedHrs,0)</f>
        <v>0</v>
      </c>
      <c r="AP11" s="22" t="n">
        <f aca="false">AK11+AO11</f>
        <v>0</v>
      </c>
      <c r="AQ11" s="22" t="n">
        <f aca="false">AP11*AN11</f>
        <v>0</v>
      </c>
      <c r="AR11" s="29" t="n">
        <f aca="false">IF(C11=0,0,IF(OR(ABS(N(Scope!$L11)+N(Scope!$M11)+N(Scope!$N11)+N(Scope!$O11)-1)&gt;0.001,AND(N(Scope!$X11)&gt;0,ABS(N(Scope!$T11)+N(Scope!$U11)+N(Scope!$V11)+N(Scope!$W11)-1)&gt;0.001)),1,0))</f>
        <v>0</v>
      </c>
      <c r="AS11" s="29" t="n">
        <f aca="false">IF(AND(C11=1,N(Scope!$P11)+N(Scope!$Q11)&gt;1),1,0)</f>
        <v>0</v>
      </c>
      <c r="AT11" s="29" t="n">
        <f aca="false">IF(AND(C11=1,OR(D11="Unmapped",E11="Unmapped")),1,0)</f>
        <v>0</v>
      </c>
      <c r="AU11" s="29" t="n">
        <f aca="false">IF(AND(C11=1,N(Scope!$AC11)&gt;0,ROUND(N(Scope!$AC11)-F11,4)&lt;&gt;0,Scope!$AD11=""),1,0)</f>
        <v>0</v>
      </c>
      <c r="AV11" s="29" t="n">
        <f aca="false">IF(AND(C11=1,OR(N(Scope!$I11)&lt;1,N(Scope!$X11)&lt;1)),1,0)</f>
        <v>0</v>
      </c>
    </row>
    <row r="12" customFormat="false" ht="15" hidden="false" customHeight="false" outlineLevel="0" collapsed="false">
      <c r="A12" s="9" t="n">
        <f aca="false">Scope!$A12</f>
        <v>6</v>
      </c>
      <c r="B12" s="9" t="str">
        <f aca="false">IF(Scope!$B12="","",Scope!$B12)</f>
        <v/>
      </c>
      <c r="C12" s="29" t="n">
        <f aca="false">IF(AND(Scope!$C12&lt;&gt;"",Scope!$D12&lt;&gt;"",N(Scope!$H12)&gt;0),1,0)</f>
        <v>0</v>
      </c>
      <c r="D12" s="9" t="str">
        <f aca="false">IF(C12=0,"",IFERROR(INDEX(ToolArch,MATCH(Scope!$C12,ToolNames,0)),"Unmapped"))</f>
        <v/>
      </c>
      <c r="E12" s="9" t="str">
        <f aca="false">IF(C12=0,"",IFERROR(INDEX(ToolArch,MATCH(Scope!$D12,ToolNames,0)),"Unmapped"))</f>
        <v/>
      </c>
      <c r="F12" s="50" t="n">
        <f aca="false">IF(C12=0,0,IFERROR(INDEX(KnownFactor,MATCH(Scope!$C12&amp;"|"&amp;Scope!$D12,KnownKey,0)),IFERROR(INDEX(ArchFactor,MATCH(D12,ArchNames,0),MATCH(E12,ArchNames,0)),1)))</f>
        <v>0</v>
      </c>
      <c r="G12" s="50" t="n">
        <f aca="false">IF(C12=0,0,IF(N(Scope!$AC12)&gt;0,MIN(FactorMax,MAX(FactorMin,Scope!$AC12)),F12))</f>
        <v>0</v>
      </c>
      <c r="H12" s="9" t="str">
        <f aca="false">IF(C12=0,"",IFERROR(INDEX(ApproachMatrix,MATCH(D12,ArchNames,0),MATCH(E12,ArchNames,0)),"Redesign"))</f>
        <v/>
      </c>
      <c r="I12" s="32" t="n">
        <f aca="false">IF(C12=0,0,IFERROR(INDEX(ApproachShares,MATCH(H12,ApproachNames,0)),1))</f>
        <v>0</v>
      </c>
      <c r="J12" s="29" t="n">
        <f aca="false">IF(AND(C12=1,Scope!$E12&lt;&gt;"",Scope!$F12&lt;&gt;"",Scope!$E12&lt;&gt;Scope!$F12),1,0)</f>
        <v>0</v>
      </c>
      <c r="K12" s="50" t="n">
        <f aca="false">1+J12*N(Scope!$K12)*DPRepUplift</f>
        <v>1</v>
      </c>
      <c r="L12" s="50" t="n">
        <f aca="false">1+J12*DPModelUplift</f>
        <v>1</v>
      </c>
      <c r="M12" s="50" t="n">
        <f aca="false">1+N(Scope!$J12)*(PaginatedFactor-1)</f>
        <v>1</v>
      </c>
      <c r="N12" s="23" t="n">
        <f aca="false">IF(Scope!$AE12="",AutoAssess,Scope!$AE12)*CapAssess</f>
        <v>0</v>
      </c>
      <c r="O12" s="23" t="n">
        <f aca="false">IF(Scope!$AF12="",AutoSem,Scope!$AF12)*CapSem</f>
        <v>0</v>
      </c>
      <c r="P12" s="23" t="n">
        <f aca="false">IF(Scope!$AG12="",AutoRep,Scope!$AG12)*CapRep</f>
        <v>0</v>
      </c>
      <c r="Q12" s="22" t="n">
        <f aca="false">C12*N(Scope!$H12)*N(Scope!$I12)</f>
        <v>0</v>
      </c>
      <c r="R12" s="51" t="n">
        <f aca="false">C12*N(Scope!$H12)*MAX(0,1-N(Scope!$P12)-N(Scope!$Q12))</f>
        <v>0</v>
      </c>
      <c r="S12" s="51" t="n">
        <f aca="false">R12*N(Scope!$R12)</f>
        <v>0</v>
      </c>
      <c r="T12" s="51" t="n">
        <f aca="false">R12-S12</f>
        <v>0</v>
      </c>
      <c r="U12" s="51" t="n">
        <f aca="false">T12*N(Scope!$I12)</f>
        <v>0</v>
      </c>
      <c r="V12" s="51" t="n">
        <f aca="false">S12*N(Scope!$I12)</f>
        <v>0</v>
      </c>
      <c r="W12" s="51" t="n">
        <f aca="false">C12*N(Scope!$H12)*N(Scope!$Q12)</f>
        <v>0</v>
      </c>
      <c r="X12" s="52" t="n">
        <f aca="false">N(Scope!$L12)*INDEX(HrsPage,1)+N(Scope!$M12)*INDEX(HrsPage,2)+N(Scope!$N12)*INDEX(HrsPage,3)+N(Scope!$O12)*INDEX(HrsPage,4)</f>
        <v>0</v>
      </c>
      <c r="Y12" s="22" t="n">
        <f aca="false">(U12*X12*K12*M12+V12*HrsDerived)*G12</f>
        <v>0</v>
      </c>
      <c r="Z12" s="22" t="n">
        <f aca="false">W12*MergeHrs*G12</f>
        <v>0</v>
      </c>
      <c r="AA12" s="22" t="n">
        <f aca="false">Y12*(1-LearnAvg)*(1-P12)+Z12</f>
        <v>0</v>
      </c>
      <c r="AB12" s="51" t="n">
        <f aca="false">C12*N(Scope!$X12)</f>
        <v>0</v>
      </c>
      <c r="AC12" s="51" t="n">
        <f aca="false">N(Scope!$T12)*INDEX(ModelHrs,1)+N(Scope!$U12)*INDEX(ModelHrs,2)+N(Scope!$V12)*INDEX(ModelHrs,3)+N(Scope!$W12)*INDEX(ModelHrs,4)</f>
        <v>0</v>
      </c>
      <c r="AD12" s="22" t="n">
        <f aca="false">AB12*AC12*I12*G12*L12</f>
        <v>0</v>
      </c>
      <c r="AE12" s="22" t="n">
        <f aca="false">C12*MAX(0,N(Scope!$S12)-N(Scope!$X12))*ConsolHrs*G12</f>
        <v>0</v>
      </c>
      <c r="AF12" s="22" t="n">
        <f aca="false">(AD12+AE12)*(1-O12)</f>
        <v>0</v>
      </c>
      <c r="AG12" s="22" t="n">
        <f aca="false">IF(C12=0,0,(IF(Q12&lt;=INDEX(AnchorPages,1),INDEX(AnchorAnalysis,1),IF(Q12&gt;=INDEX(AnchorPages,5),INDEX(AnchorAnalysis,5)+(Q12-INDEX(AnchorPages,5))*(INDEX(AnchorAnalysis,5)-INDEX(AnchorAnalysis,4))/(INDEX(AnchorPages,5)-INDEX(AnchorPages,4)),INDEX(AnchorAnalysis,MATCH(Q12,AnchorPages,1))+(Q12-INDEX(AnchorPages,MATCH(Q12,AnchorPages,1)))*(INDEX(AnchorAnalysis,MATCH(Q12,AnchorPages,1)+1)-INDEX(AnchorAnalysis,MATCH(Q12,AnchorPages,1)))/(INDEX(AnchorPages,MATCH(Q12,AnchorPages,1)+1)-INDEX(AnchorPages,MATCH(Q12,AnchorPages,1)))))*G12+N(Scope!$S12)*AssessPerModel)*(1-N12))</f>
        <v>0</v>
      </c>
      <c r="AH12" s="22" t="n">
        <f aca="false">IF(C12=0,0,AB12*IFERROR(INDEX(SecHrs,MATCH(Scope!$Y12,SecNames,0)),0)+N(Scope!$Z12)*SchedHrs+N(Scope!$AA12)*GroupHrs+HandoverHrs)</f>
        <v>0</v>
      </c>
      <c r="AI12" s="22" t="n">
        <f aca="false">AB12*IFERROR(INDEX(AIHrs,MATCH(Scope!$AB12,AINames,0)),0)</f>
        <v>0</v>
      </c>
      <c r="AJ12" s="22" t="n">
        <f aca="false">IF(AND(C12=1,MAX(N12,O12,P12,AutoSIT,AutoUAT,AutoDep)&gt;0),AutoSetupHrs,0)</f>
        <v>0</v>
      </c>
      <c r="AK12" s="22" t="n">
        <f aca="false">AA12+AF12+AG12+AH12+AI12+AJ12</f>
        <v>0</v>
      </c>
      <c r="AL12" s="22" t="n">
        <f aca="false">AA12+AF12</f>
        <v>0</v>
      </c>
      <c r="AM12" s="29" t="n">
        <f aca="false">IF(C12=0,0,MIN(5,MAX(1,INT(N(Scope!$G12)))))</f>
        <v>0</v>
      </c>
      <c r="AN12" s="32" t="n">
        <f aca="false">IF(C12=0,0,IFERROR(INDEX(ConfPct,MATCH(Scope!$AH12,ConfNames,0)),MAX(ConfPct)))</f>
        <v>0</v>
      </c>
      <c r="AO12" s="22" t="n">
        <f aca="false">IF(SUM($AL$7:$AL$26)&gt;0,AL12/SUM($AL$7:$AL$26)*ProgSharedHrs,0)</f>
        <v>0</v>
      </c>
      <c r="AP12" s="22" t="n">
        <f aca="false">AK12+AO12</f>
        <v>0</v>
      </c>
      <c r="AQ12" s="22" t="n">
        <f aca="false">AP12*AN12</f>
        <v>0</v>
      </c>
      <c r="AR12" s="29" t="n">
        <f aca="false">IF(C12=0,0,IF(OR(ABS(N(Scope!$L12)+N(Scope!$M12)+N(Scope!$N12)+N(Scope!$O12)-1)&gt;0.001,AND(N(Scope!$X12)&gt;0,ABS(N(Scope!$T12)+N(Scope!$U12)+N(Scope!$V12)+N(Scope!$W12)-1)&gt;0.001)),1,0))</f>
        <v>0</v>
      </c>
      <c r="AS12" s="29" t="n">
        <f aca="false">IF(AND(C12=1,N(Scope!$P12)+N(Scope!$Q12)&gt;1),1,0)</f>
        <v>0</v>
      </c>
      <c r="AT12" s="29" t="n">
        <f aca="false">IF(AND(C12=1,OR(D12="Unmapped",E12="Unmapped")),1,0)</f>
        <v>0</v>
      </c>
      <c r="AU12" s="29" t="n">
        <f aca="false">IF(AND(C12=1,N(Scope!$AC12)&gt;0,ROUND(N(Scope!$AC12)-F12,4)&lt;&gt;0,Scope!$AD12=""),1,0)</f>
        <v>0</v>
      </c>
      <c r="AV12" s="29" t="n">
        <f aca="false">IF(AND(C12=1,OR(N(Scope!$I12)&lt;1,N(Scope!$X12)&lt;1)),1,0)</f>
        <v>0</v>
      </c>
    </row>
    <row r="13" customFormat="false" ht="15" hidden="false" customHeight="false" outlineLevel="0" collapsed="false">
      <c r="A13" s="9" t="n">
        <f aca="false">Scope!$A13</f>
        <v>7</v>
      </c>
      <c r="B13" s="9" t="str">
        <f aca="false">IF(Scope!$B13="","",Scope!$B13)</f>
        <v/>
      </c>
      <c r="C13" s="29" t="n">
        <f aca="false">IF(AND(Scope!$C13&lt;&gt;"",Scope!$D13&lt;&gt;"",N(Scope!$H13)&gt;0),1,0)</f>
        <v>0</v>
      </c>
      <c r="D13" s="9" t="str">
        <f aca="false">IF(C13=0,"",IFERROR(INDEX(ToolArch,MATCH(Scope!$C13,ToolNames,0)),"Unmapped"))</f>
        <v/>
      </c>
      <c r="E13" s="9" t="str">
        <f aca="false">IF(C13=0,"",IFERROR(INDEX(ToolArch,MATCH(Scope!$D13,ToolNames,0)),"Unmapped"))</f>
        <v/>
      </c>
      <c r="F13" s="50" t="n">
        <f aca="false">IF(C13=0,0,IFERROR(INDEX(KnownFactor,MATCH(Scope!$C13&amp;"|"&amp;Scope!$D13,KnownKey,0)),IFERROR(INDEX(ArchFactor,MATCH(D13,ArchNames,0),MATCH(E13,ArchNames,0)),1)))</f>
        <v>0</v>
      </c>
      <c r="G13" s="50" t="n">
        <f aca="false">IF(C13=0,0,IF(N(Scope!$AC13)&gt;0,MIN(FactorMax,MAX(FactorMin,Scope!$AC13)),F13))</f>
        <v>0</v>
      </c>
      <c r="H13" s="9" t="str">
        <f aca="false">IF(C13=0,"",IFERROR(INDEX(ApproachMatrix,MATCH(D13,ArchNames,0),MATCH(E13,ArchNames,0)),"Redesign"))</f>
        <v/>
      </c>
      <c r="I13" s="32" t="n">
        <f aca="false">IF(C13=0,0,IFERROR(INDEX(ApproachShares,MATCH(H13,ApproachNames,0)),1))</f>
        <v>0</v>
      </c>
      <c r="J13" s="29" t="n">
        <f aca="false">IF(AND(C13=1,Scope!$E13&lt;&gt;"",Scope!$F13&lt;&gt;"",Scope!$E13&lt;&gt;Scope!$F13),1,0)</f>
        <v>0</v>
      </c>
      <c r="K13" s="50" t="n">
        <f aca="false">1+J13*N(Scope!$K13)*DPRepUplift</f>
        <v>1</v>
      </c>
      <c r="L13" s="50" t="n">
        <f aca="false">1+J13*DPModelUplift</f>
        <v>1</v>
      </c>
      <c r="M13" s="50" t="n">
        <f aca="false">1+N(Scope!$J13)*(PaginatedFactor-1)</f>
        <v>1</v>
      </c>
      <c r="N13" s="23" t="n">
        <f aca="false">IF(Scope!$AE13="",AutoAssess,Scope!$AE13)*CapAssess</f>
        <v>0</v>
      </c>
      <c r="O13" s="23" t="n">
        <f aca="false">IF(Scope!$AF13="",AutoSem,Scope!$AF13)*CapSem</f>
        <v>0</v>
      </c>
      <c r="P13" s="23" t="n">
        <f aca="false">IF(Scope!$AG13="",AutoRep,Scope!$AG13)*CapRep</f>
        <v>0</v>
      </c>
      <c r="Q13" s="22" t="n">
        <f aca="false">C13*N(Scope!$H13)*N(Scope!$I13)</f>
        <v>0</v>
      </c>
      <c r="R13" s="51" t="n">
        <f aca="false">C13*N(Scope!$H13)*MAX(0,1-N(Scope!$P13)-N(Scope!$Q13))</f>
        <v>0</v>
      </c>
      <c r="S13" s="51" t="n">
        <f aca="false">R13*N(Scope!$R13)</f>
        <v>0</v>
      </c>
      <c r="T13" s="51" t="n">
        <f aca="false">R13-S13</f>
        <v>0</v>
      </c>
      <c r="U13" s="51" t="n">
        <f aca="false">T13*N(Scope!$I13)</f>
        <v>0</v>
      </c>
      <c r="V13" s="51" t="n">
        <f aca="false">S13*N(Scope!$I13)</f>
        <v>0</v>
      </c>
      <c r="W13" s="51" t="n">
        <f aca="false">C13*N(Scope!$H13)*N(Scope!$Q13)</f>
        <v>0</v>
      </c>
      <c r="X13" s="52" t="n">
        <f aca="false">N(Scope!$L13)*INDEX(HrsPage,1)+N(Scope!$M13)*INDEX(HrsPage,2)+N(Scope!$N13)*INDEX(HrsPage,3)+N(Scope!$O13)*INDEX(HrsPage,4)</f>
        <v>0</v>
      </c>
      <c r="Y13" s="22" t="n">
        <f aca="false">(U13*X13*K13*M13+V13*HrsDerived)*G13</f>
        <v>0</v>
      </c>
      <c r="Z13" s="22" t="n">
        <f aca="false">W13*MergeHrs*G13</f>
        <v>0</v>
      </c>
      <c r="AA13" s="22" t="n">
        <f aca="false">Y13*(1-LearnAvg)*(1-P13)+Z13</f>
        <v>0</v>
      </c>
      <c r="AB13" s="51" t="n">
        <f aca="false">C13*N(Scope!$X13)</f>
        <v>0</v>
      </c>
      <c r="AC13" s="51" t="n">
        <f aca="false">N(Scope!$T13)*INDEX(ModelHrs,1)+N(Scope!$U13)*INDEX(ModelHrs,2)+N(Scope!$V13)*INDEX(ModelHrs,3)+N(Scope!$W13)*INDEX(ModelHrs,4)</f>
        <v>0</v>
      </c>
      <c r="AD13" s="22" t="n">
        <f aca="false">AB13*AC13*I13*G13*L13</f>
        <v>0</v>
      </c>
      <c r="AE13" s="22" t="n">
        <f aca="false">C13*MAX(0,N(Scope!$S13)-N(Scope!$X13))*ConsolHrs*G13</f>
        <v>0</v>
      </c>
      <c r="AF13" s="22" t="n">
        <f aca="false">(AD13+AE13)*(1-O13)</f>
        <v>0</v>
      </c>
      <c r="AG13" s="22" t="n">
        <f aca="false">IF(C13=0,0,(IF(Q13&lt;=INDEX(AnchorPages,1),INDEX(AnchorAnalysis,1),IF(Q13&gt;=INDEX(AnchorPages,5),INDEX(AnchorAnalysis,5)+(Q13-INDEX(AnchorPages,5))*(INDEX(AnchorAnalysis,5)-INDEX(AnchorAnalysis,4))/(INDEX(AnchorPages,5)-INDEX(AnchorPages,4)),INDEX(AnchorAnalysis,MATCH(Q13,AnchorPages,1))+(Q13-INDEX(AnchorPages,MATCH(Q13,AnchorPages,1)))*(INDEX(AnchorAnalysis,MATCH(Q13,AnchorPages,1)+1)-INDEX(AnchorAnalysis,MATCH(Q13,AnchorPages,1)))/(INDEX(AnchorPages,MATCH(Q13,AnchorPages,1)+1)-INDEX(AnchorPages,MATCH(Q13,AnchorPages,1)))))*G13+N(Scope!$S13)*AssessPerModel)*(1-N13))</f>
        <v>0</v>
      </c>
      <c r="AH13" s="22" t="n">
        <f aca="false">IF(C13=0,0,AB13*IFERROR(INDEX(SecHrs,MATCH(Scope!$Y13,SecNames,0)),0)+N(Scope!$Z13)*SchedHrs+N(Scope!$AA13)*GroupHrs+HandoverHrs)</f>
        <v>0</v>
      </c>
      <c r="AI13" s="22" t="n">
        <f aca="false">AB13*IFERROR(INDEX(AIHrs,MATCH(Scope!$AB13,AINames,0)),0)</f>
        <v>0</v>
      </c>
      <c r="AJ13" s="22" t="n">
        <f aca="false">IF(AND(C13=1,MAX(N13,O13,P13,AutoSIT,AutoUAT,AutoDep)&gt;0),AutoSetupHrs,0)</f>
        <v>0</v>
      </c>
      <c r="AK13" s="22" t="n">
        <f aca="false">AA13+AF13+AG13+AH13+AI13+AJ13</f>
        <v>0</v>
      </c>
      <c r="AL13" s="22" t="n">
        <f aca="false">AA13+AF13</f>
        <v>0</v>
      </c>
      <c r="AM13" s="29" t="n">
        <f aca="false">IF(C13=0,0,MIN(5,MAX(1,INT(N(Scope!$G13)))))</f>
        <v>0</v>
      </c>
      <c r="AN13" s="32" t="n">
        <f aca="false">IF(C13=0,0,IFERROR(INDEX(ConfPct,MATCH(Scope!$AH13,ConfNames,0)),MAX(ConfPct)))</f>
        <v>0</v>
      </c>
      <c r="AO13" s="22" t="n">
        <f aca="false">IF(SUM($AL$7:$AL$26)&gt;0,AL13/SUM($AL$7:$AL$26)*ProgSharedHrs,0)</f>
        <v>0</v>
      </c>
      <c r="AP13" s="22" t="n">
        <f aca="false">AK13+AO13</f>
        <v>0</v>
      </c>
      <c r="AQ13" s="22" t="n">
        <f aca="false">AP13*AN13</f>
        <v>0</v>
      </c>
      <c r="AR13" s="29" t="n">
        <f aca="false">IF(C13=0,0,IF(OR(ABS(N(Scope!$L13)+N(Scope!$M13)+N(Scope!$N13)+N(Scope!$O13)-1)&gt;0.001,AND(N(Scope!$X13)&gt;0,ABS(N(Scope!$T13)+N(Scope!$U13)+N(Scope!$V13)+N(Scope!$W13)-1)&gt;0.001)),1,0))</f>
        <v>0</v>
      </c>
      <c r="AS13" s="29" t="n">
        <f aca="false">IF(AND(C13=1,N(Scope!$P13)+N(Scope!$Q13)&gt;1),1,0)</f>
        <v>0</v>
      </c>
      <c r="AT13" s="29" t="n">
        <f aca="false">IF(AND(C13=1,OR(D13="Unmapped",E13="Unmapped")),1,0)</f>
        <v>0</v>
      </c>
      <c r="AU13" s="29" t="n">
        <f aca="false">IF(AND(C13=1,N(Scope!$AC13)&gt;0,ROUND(N(Scope!$AC13)-F13,4)&lt;&gt;0,Scope!$AD13=""),1,0)</f>
        <v>0</v>
      </c>
      <c r="AV13" s="29" t="n">
        <f aca="false">IF(AND(C13=1,OR(N(Scope!$I13)&lt;1,N(Scope!$X13)&lt;1)),1,0)</f>
        <v>0</v>
      </c>
    </row>
    <row r="14" customFormat="false" ht="15" hidden="false" customHeight="false" outlineLevel="0" collapsed="false">
      <c r="A14" s="9" t="n">
        <f aca="false">Scope!$A14</f>
        <v>8</v>
      </c>
      <c r="B14" s="9" t="str">
        <f aca="false">IF(Scope!$B14="","",Scope!$B14)</f>
        <v/>
      </c>
      <c r="C14" s="29" t="n">
        <f aca="false">IF(AND(Scope!$C14&lt;&gt;"",Scope!$D14&lt;&gt;"",N(Scope!$H14)&gt;0),1,0)</f>
        <v>0</v>
      </c>
      <c r="D14" s="9" t="str">
        <f aca="false">IF(C14=0,"",IFERROR(INDEX(ToolArch,MATCH(Scope!$C14,ToolNames,0)),"Unmapped"))</f>
        <v/>
      </c>
      <c r="E14" s="9" t="str">
        <f aca="false">IF(C14=0,"",IFERROR(INDEX(ToolArch,MATCH(Scope!$D14,ToolNames,0)),"Unmapped"))</f>
        <v/>
      </c>
      <c r="F14" s="50" t="n">
        <f aca="false">IF(C14=0,0,IFERROR(INDEX(KnownFactor,MATCH(Scope!$C14&amp;"|"&amp;Scope!$D14,KnownKey,0)),IFERROR(INDEX(ArchFactor,MATCH(D14,ArchNames,0),MATCH(E14,ArchNames,0)),1)))</f>
        <v>0</v>
      </c>
      <c r="G14" s="50" t="n">
        <f aca="false">IF(C14=0,0,IF(N(Scope!$AC14)&gt;0,MIN(FactorMax,MAX(FactorMin,Scope!$AC14)),F14))</f>
        <v>0</v>
      </c>
      <c r="H14" s="9" t="str">
        <f aca="false">IF(C14=0,"",IFERROR(INDEX(ApproachMatrix,MATCH(D14,ArchNames,0),MATCH(E14,ArchNames,0)),"Redesign"))</f>
        <v/>
      </c>
      <c r="I14" s="32" t="n">
        <f aca="false">IF(C14=0,0,IFERROR(INDEX(ApproachShares,MATCH(H14,ApproachNames,0)),1))</f>
        <v>0</v>
      </c>
      <c r="J14" s="29" t="n">
        <f aca="false">IF(AND(C14=1,Scope!$E14&lt;&gt;"",Scope!$F14&lt;&gt;"",Scope!$E14&lt;&gt;Scope!$F14),1,0)</f>
        <v>0</v>
      </c>
      <c r="K14" s="50" t="n">
        <f aca="false">1+J14*N(Scope!$K14)*DPRepUplift</f>
        <v>1</v>
      </c>
      <c r="L14" s="50" t="n">
        <f aca="false">1+J14*DPModelUplift</f>
        <v>1</v>
      </c>
      <c r="M14" s="50" t="n">
        <f aca="false">1+N(Scope!$J14)*(PaginatedFactor-1)</f>
        <v>1</v>
      </c>
      <c r="N14" s="23" t="n">
        <f aca="false">IF(Scope!$AE14="",AutoAssess,Scope!$AE14)*CapAssess</f>
        <v>0</v>
      </c>
      <c r="O14" s="23" t="n">
        <f aca="false">IF(Scope!$AF14="",AutoSem,Scope!$AF14)*CapSem</f>
        <v>0</v>
      </c>
      <c r="P14" s="23" t="n">
        <f aca="false">IF(Scope!$AG14="",AutoRep,Scope!$AG14)*CapRep</f>
        <v>0</v>
      </c>
      <c r="Q14" s="22" t="n">
        <f aca="false">C14*N(Scope!$H14)*N(Scope!$I14)</f>
        <v>0</v>
      </c>
      <c r="R14" s="51" t="n">
        <f aca="false">C14*N(Scope!$H14)*MAX(0,1-N(Scope!$P14)-N(Scope!$Q14))</f>
        <v>0</v>
      </c>
      <c r="S14" s="51" t="n">
        <f aca="false">R14*N(Scope!$R14)</f>
        <v>0</v>
      </c>
      <c r="T14" s="51" t="n">
        <f aca="false">R14-S14</f>
        <v>0</v>
      </c>
      <c r="U14" s="51" t="n">
        <f aca="false">T14*N(Scope!$I14)</f>
        <v>0</v>
      </c>
      <c r="V14" s="51" t="n">
        <f aca="false">S14*N(Scope!$I14)</f>
        <v>0</v>
      </c>
      <c r="W14" s="51" t="n">
        <f aca="false">C14*N(Scope!$H14)*N(Scope!$Q14)</f>
        <v>0</v>
      </c>
      <c r="X14" s="52" t="n">
        <f aca="false">N(Scope!$L14)*INDEX(HrsPage,1)+N(Scope!$M14)*INDEX(HrsPage,2)+N(Scope!$N14)*INDEX(HrsPage,3)+N(Scope!$O14)*INDEX(HrsPage,4)</f>
        <v>0</v>
      </c>
      <c r="Y14" s="22" t="n">
        <f aca="false">(U14*X14*K14*M14+V14*HrsDerived)*G14</f>
        <v>0</v>
      </c>
      <c r="Z14" s="22" t="n">
        <f aca="false">W14*MergeHrs*G14</f>
        <v>0</v>
      </c>
      <c r="AA14" s="22" t="n">
        <f aca="false">Y14*(1-LearnAvg)*(1-P14)+Z14</f>
        <v>0</v>
      </c>
      <c r="AB14" s="51" t="n">
        <f aca="false">C14*N(Scope!$X14)</f>
        <v>0</v>
      </c>
      <c r="AC14" s="51" t="n">
        <f aca="false">N(Scope!$T14)*INDEX(ModelHrs,1)+N(Scope!$U14)*INDEX(ModelHrs,2)+N(Scope!$V14)*INDEX(ModelHrs,3)+N(Scope!$W14)*INDEX(ModelHrs,4)</f>
        <v>0</v>
      </c>
      <c r="AD14" s="22" t="n">
        <f aca="false">AB14*AC14*I14*G14*L14</f>
        <v>0</v>
      </c>
      <c r="AE14" s="22" t="n">
        <f aca="false">C14*MAX(0,N(Scope!$S14)-N(Scope!$X14))*ConsolHrs*G14</f>
        <v>0</v>
      </c>
      <c r="AF14" s="22" t="n">
        <f aca="false">(AD14+AE14)*(1-O14)</f>
        <v>0</v>
      </c>
      <c r="AG14" s="22" t="n">
        <f aca="false">IF(C14=0,0,(IF(Q14&lt;=INDEX(AnchorPages,1),INDEX(AnchorAnalysis,1),IF(Q14&gt;=INDEX(AnchorPages,5),INDEX(AnchorAnalysis,5)+(Q14-INDEX(AnchorPages,5))*(INDEX(AnchorAnalysis,5)-INDEX(AnchorAnalysis,4))/(INDEX(AnchorPages,5)-INDEX(AnchorPages,4)),INDEX(AnchorAnalysis,MATCH(Q14,AnchorPages,1))+(Q14-INDEX(AnchorPages,MATCH(Q14,AnchorPages,1)))*(INDEX(AnchorAnalysis,MATCH(Q14,AnchorPages,1)+1)-INDEX(AnchorAnalysis,MATCH(Q14,AnchorPages,1)))/(INDEX(AnchorPages,MATCH(Q14,AnchorPages,1)+1)-INDEX(AnchorPages,MATCH(Q14,AnchorPages,1)))))*G14+N(Scope!$S14)*AssessPerModel)*(1-N14))</f>
        <v>0</v>
      </c>
      <c r="AH14" s="22" t="n">
        <f aca="false">IF(C14=0,0,AB14*IFERROR(INDEX(SecHrs,MATCH(Scope!$Y14,SecNames,0)),0)+N(Scope!$Z14)*SchedHrs+N(Scope!$AA14)*GroupHrs+HandoverHrs)</f>
        <v>0</v>
      </c>
      <c r="AI14" s="22" t="n">
        <f aca="false">AB14*IFERROR(INDEX(AIHrs,MATCH(Scope!$AB14,AINames,0)),0)</f>
        <v>0</v>
      </c>
      <c r="AJ14" s="22" t="n">
        <f aca="false">IF(AND(C14=1,MAX(N14,O14,P14,AutoSIT,AutoUAT,AutoDep)&gt;0),AutoSetupHrs,0)</f>
        <v>0</v>
      </c>
      <c r="AK14" s="22" t="n">
        <f aca="false">AA14+AF14+AG14+AH14+AI14+AJ14</f>
        <v>0</v>
      </c>
      <c r="AL14" s="22" t="n">
        <f aca="false">AA14+AF14</f>
        <v>0</v>
      </c>
      <c r="AM14" s="29" t="n">
        <f aca="false">IF(C14=0,0,MIN(5,MAX(1,INT(N(Scope!$G14)))))</f>
        <v>0</v>
      </c>
      <c r="AN14" s="32" t="n">
        <f aca="false">IF(C14=0,0,IFERROR(INDEX(ConfPct,MATCH(Scope!$AH14,ConfNames,0)),MAX(ConfPct)))</f>
        <v>0</v>
      </c>
      <c r="AO14" s="22" t="n">
        <f aca="false">IF(SUM($AL$7:$AL$26)&gt;0,AL14/SUM($AL$7:$AL$26)*ProgSharedHrs,0)</f>
        <v>0</v>
      </c>
      <c r="AP14" s="22" t="n">
        <f aca="false">AK14+AO14</f>
        <v>0</v>
      </c>
      <c r="AQ14" s="22" t="n">
        <f aca="false">AP14*AN14</f>
        <v>0</v>
      </c>
      <c r="AR14" s="29" t="n">
        <f aca="false">IF(C14=0,0,IF(OR(ABS(N(Scope!$L14)+N(Scope!$M14)+N(Scope!$N14)+N(Scope!$O14)-1)&gt;0.001,AND(N(Scope!$X14)&gt;0,ABS(N(Scope!$T14)+N(Scope!$U14)+N(Scope!$V14)+N(Scope!$W14)-1)&gt;0.001)),1,0))</f>
        <v>0</v>
      </c>
      <c r="AS14" s="29" t="n">
        <f aca="false">IF(AND(C14=1,N(Scope!$P14)+N(Scope!$Q14)&gt;1),1,0)</f>
        <v>0</v>
      </c>
      <c r="AT14" s="29" t="n">
        <f aca="false">IF(AND(C14=1,OR(D14="Unmapped",E14="Unmapped")),1,0)</f>
        <v>0</v>
      </c>
      <c r="AU14" s="29" t="n">
        <f aca="false">IF(AND(C14=1,N(Scope!$AC14)&gt;0,ROUND(N(Scope!$AC14)-F14,4)&lt;&gt;0,Scope!$AD14=""),1,0)</f>
        <v>0</v>
      </c>
      <c r="AV14" s="29" t="n">
        <f aca="false">IF(AND(C14=1,OR(N(Scope!$I14)&lt;1,N(Scope!$X14)&lt;1)),1,0)</f>
        <v>0</v>
      </c>
    </row>
    <row r="15" customFormat="false" ht="15" hidden="false" customHeight="false" outlineLevel="0" collapsed="false">
      <c r="A15" s="9" t="n">
        <f aca="false">Scope!$A15</f>
        <v>9</v>
      </c>
      <c r="B15" s="9" t="str">
        <f aca="false">IF(Scope!$B15="","",Scope!$B15)</f>
        <v/>
      </c>
      <c r="C15" s="29" t="n">
        <f aca="false">IF(AND(Scope!$C15&lt;&gt;"",Scope!$D15&lt;&gt;"",N(Scope!$H15)&gt;0),1,0)</f>
        <v>0</v>
      </c>
      <c r="D15" s="9" t="str">
        <f aca="false">IF(C15=0,"",IFERROR(INDEX(ToolArch,MATCH(Scope!$C15,ToolNames,0)),"Unmapped"))</f>
        <v/>
      </c>
      <c r="E15" s="9" t="str">
        <f aca="false">IF(C15=0,"",IFERROR(INDEX(ToolArch,MATCH(Scope!$D15,ToolNames,0)),"Unmapped"))</f>
        <v/>
      </c>
      <c r="F15" s="50" t="n">
        <f aca="false">IF(C15=0,0,IFERROR(INDEX(KnownFactor,MATCH(Scope!$C15&amp;"|"&amp;Scope!$D15,KnownKey,0)),IFERROR(INDEX(ArchFactor,MATCH(D15,ArchNames,0),MATCH(E15,ArchNames,0)),1)))</f>
        <v>0</v>
      </c>
      <c r="G15" s="50" t="n">
        <f aca="false">IF(C15=0,0,IF(N(Scope!$AC15)&gt;0,MIN(FactorMax,MAX(FactorMin,Scope!$AC15)),F15))</f>
        <v>0</v>
      </c>
      <c r="H15" s="9" t="str">
        <f aca="false">IF(C15=0,"",IFERROR(INDEX(ApproachMatrix,MATCH(D15,ArchNames,0),MATCH(E15,ArchNames,0)),"Redesign"))</f>
        <v/>
      </c>
      <c r="I15" s="32" t="n">
        <f aca="false">IF(C15=0,0,IFERROR(INDEX(ApproachShares,MATCH(H15,ApproachNames,0)),1))</f>
        <v>0</v>
      </c>
      <c r="J15" s="29" t="n">
        <f aca="false">IF(AND(C15=1,Scope!$E15&lt;&gt;"",Scope!$F15&lt;&gt;"",Scope!$E15&lt;&gt;Scope!$F15),1,0)</f>
        <v>0</v>
      </c>
      <c r="K15" s="50" t="n">
        <f aca="false">1+J15*N(Scope!$K15)*DPRepUplift</f>
        <v>1</v>
      </c>
      <c r="L15" s="50" t="n">
        <f aca="false">1+J15*DPModelUplift</f>
        <v>1</v>
      </c>
      <c r="M15" s="50" t="n">
        <f aca="false">1+N(Scope!$J15)*(PaginatedFactor-1)</f>
        <v>1</v>
      </c>
      <c r="N15" s="23" t="n">
        <f aca="false">IF(Scope!$AE15="",AutoAssess,Scope!$AE15)*CapAssess</f>
        <v>0</v>
      </c>
      <c r="O15" s="23" t="n">
        <f aca="false">IF(Scope!$AF15="",AutoSem,Scope!$AF15)*CapSem</f>
        <v>0</v>
      </c>
      <c r="P15" s="23" t="n">
        <f aca="false">IF(Scope!$AG15="",AutoRep,Scope!$AG15)*CapRep</f>
        <v>0</v>
      </c>
      <c r="Q15" s="22" t="n">
        <f aca="false">C15*N(Scope!$H15)*N(Scope!$I15)</f>
        <v>0</v>
      </c>
      <c r="R15" s="51" t="n">
        <f aca="false">C15*N(Scope!$H15)*MAX(0,1-N(Scope!$P15)-N(Scope!$Q15))</f>
        <v>0</v>
      </c>
      <c r="S15" s="51" t="n">
        <f aca="false">R15*N(Scope!$R15)</f>
        <v>0</v>
      </c>
      <c r="T15" s="51" t="n">
        <f aca="false">R15-S15</f>
        <v>0</v>
      </c>
      <c r="U15" s="51" t="n">
        <f aca="false">T15*N(Scope!$I15)</f>
        <v>0</v>
      </c>
      <c r="V15" s="51" t="n">
        <f aca="false">S15*N(Scope!$I15)</f>
        <v>0</v>
      </c>
      <c r="W15" s="51" t="n">
        <f aca="false">C15*N(Scope!$H15)*N(Scope!$Q15)</f>
        <v>0</v>
      </c>
      <c r="X15" s="52" t="n">
        <f aca="false">N(Scope!$L15)*INDEX(HrsPage,1)+N(Scope!$M15)*INDEX(HrsPage,2)+N(Scope!$N15)*INDEX(HrsPage,3)+N(Scope!$O15)*INDEX(HrsPage,4)</f>
        <v>0</v>
      </c>
      <c r="Y15" s="22" t="n">
        <f aca="false">(U15*X15*K15*M15+V15*HrsDerived)*G15</f>
        <v>0</v>
      </c>
      <c r="Z15" s="22" t="n">
        <f aca="false">W15*MergeHrs*G15</f>
        <v>0</v>
      </c>
      <c r="AA15" s="22" t="n">
        <f aca="false">Y15*(1-LearnAvg)*(1-P15)+Z15</f>
        <v>0</v>
      </c>
      <c r="AB15" s="51" t="n">
        <f aca="false">C15*N(Scope!$X15)</f>
        <v>0</v>
      </c>
      <c r="AC15" s="51" t="n">
        <f aca="false">N(Scope!$T15)*INDEX(ModelHrs,1)+N(Scope!$U15)*INDEX(ModelHrs,2)+N(Scope!$V15)*INDEX(ModelHrs,3)+N(Scope!$W15)*INDEX(ModelHrs,4)</f>
        <v>0</v>
      </c>
      <c r="AD15" s="22" t="n">
        <f aca="false">AB15*AC15*I15*G15*L15</f>
        <v>0</v>
      </c>
      <c r="AE15" s="22" t="n">
        <f aca="false">C15*MAX(0,N(Scope!$S15)-N(Scope!$X15))*ConsolHrs*G15</f>
        <v>0</v>
      </c>
      <c r="AF15" s="22" t="n">
        <f aca="false">(AD15+AE15)*(1-O15)</f>
        <v>0</v>
      </c>
      <c r="AG15" s="22" t="n">
        <f aca="false">IF(C15=0,0,(IF(Q15&lt;=INDEX(AnchorPages,1),INDEX(AnchorAnalysis,1),IF(Q15&gt;=INDEX(AnchorPages,5),INDEX(AnchorAnalysis,5)+(Q15-INDEX(AnchorPages,5))*(INDEX(AnchorAnalysis,5)-INDEX(AnchorAnalysis,4))/(INDEX(AnchorPages,5)-INDEX(AnchorPages,4)),INDEX(AnchorAnalysis,MATCH(Q15,AnchorPages,1))+(Q15-INDEX(AnchorPages,MATCH(Q15,AnchorPages,1)))*(INDEX(AnchorAnalysis,MATCH(Q15,AnchorPages,1)+1)-INDEX(AnchorAnalysis,MATCH(Q15,AnchorPages,1)))/(INDEX(AnchorPages,MATCH(Q15,AnchorPages,1)+1)-INDEX(AnchorPages,MATCH(Q15,AnchorPages,1)))))*G15+N(Scope!$S15)*AssessPerModel)*(1-N15))</f>
        <v>0</v>
      </c>
      <c r="AH15" s="22" t="n">
        <f aca="false">IF(C15=0,0,AB15*IFERROR(INDEX(SecHrs,MATCH(Scope!$Y15,SecNames,0)),0)+N(Scope!$Z15)*SchedHrs+N(Scope!$AA15)*GroupHrs+HandoverHrs)</f>
        <v>0</v>
      </c>
      <c r="AI15" s="22" t="n">
        <f aca="false">AB15*IFERROR(INDEX(AIHrs,MATCH(Scope!$AB15,AINames,0)),0)</f>
        <v>0</v>
      </c>
      <c r="AJ15" s="22" t="n">
        <f aca="false">IF(AND(C15=1,MAX(N15,O15,P15,AutoSIT,AutoUAT,AutoDep)&gt;0),AutoSetupHrs,0)</f>
        <v>0</v>
      </c>
      <c r="AK15" s="22" t="n">
        <f aca="false">AA15+AF15+AG15+AH15+AI15+AJ15</f>
        <v>0</v>
      </c>
      <c r="AL15" s="22" t="n">
        <f aca="false">AA15+AF15</f>
        <v>0</v>
      </c>
      <c r="AM15" s="29" t="n">
        <f aca="false">IF(C15=0,0,MIN(5,MAX(1,INT(N(Scope!$G15)))))</f>
        <v>0</v>
      </c>
      <c r="AN15" s="32" t="n">
        <f aca="false">IF(C15=0,0,IFERROR(INDEX(ConfPct,MATCH(Scope!$AH15,ConfNames,0)),MAX(ConfPct)))</f>
        <v>0</v>
      </c>
      <c r="AO15" s="22" t="n">
        <f aca="false">IF(SUM($AL$7:$AL$26)&gt;0,AL15/SUM($AL$7:$AL$26)*ProgSharedHrs,0)</f>
        <v>0</v>
      </c>
      <c r="AP15" s="22" t="n">
        <f aca="false">AK15+AO15</f>
        <v>0</v>
      </c>
      <c r="AQ15" s="22" t="n">
        <f aca="false">AP15*AN15</f>
        <v>0</v>
      </c>
      <c r="AR15" s="29" t="n">
        <f aca="false">IF(C15=0,0,IF(OR(ABS(N(Scope!$L15)+N(Scope!$M15)+N(Scope!$N15)+N(Scope!$O15)-1)&gt;0.001,AND(N(Scope!$X15)&gt;0,ABS(N(Scope!$T15)+N(Scope!$U15)+N(Scope!$V15)+N(Scope!$W15)-1)&gt;0.001)),1,0))</f>
        <v>0</v>
      </c>
      <c r="AS15" s="29" t="n">
        <f aca="false">IF(AND(C15=1,N(Scope!$P15)+N(Scope!$Q15)&gt;1),1,0)</f>
        <v>0</v>
      </c>
      <c r="AT15" s="29" t="n">
        <f aca="false">IF(AND(C15=1,OR(D15="Unmapped",E15="Unmapped")),1,0)</f>
        <v>0</v>
      </c>
      <c r="AU15" s="29" t="n">
        <f aca="false">IF(AND(C15=1,N(Scope!$AC15)&gt;0,ROUND(N(Scope!$AC15)-F15,4)&lt;&gt;0,Scope!$AD15=""),1,0)</f>
        <v>0</v>
      </c>
      <c r="AV15" s="29" t="n">
        <f aca="false">IF(AND(C15=1,OR(N(Scope!$I15)&lt;1,N(Scope!$X15)&lt;1)),1,0)</f>
        <v>0</v>
      </c>
    </row>
    <row r="16" customFormat="false" ht="15" hidden="false" customHeight="false" outlineLevel="0" collapsed="false">
      <c r="A16" s="9" t="n">
        <f aca="false">Scope!$A16</f>
        <v>10</v>
      </c>
      <c r="B16" s="9" t="str">
        <f aca="false">IF(Scope!$B16="","",Scope!$B16)</f>
        <v/>
      </c>
      <c r="C16" s="29" t="n">
        <f aca="false">IF(AND(Scope!$C16&lt;&gt;"",Scope!$D16&lt;&gt;"",N(Scope!$H16)&gt;0),1,0)</f>
        <v>0</v>
      </c>
      <c r="D16" s="9" t="str">
        <f aca="false">IF(C16=0,"",IFERROR(INDEX(ToolArch,MATCH(Scope!$C16,ToolNames,0)),"Unmapped"))</f>
        <v/>
      </c>
      <c r="E16" s="9" t="str">
        <f aca="false">IF(C16=0,"",IFERROR(INDEX(ToolArch,MATCH(Scope!$D16,ToolNames,0)),"Unmapped"))</f>
        <v/>
      </c>
      <c r="F16" s="50" t="n">
        <f aca="false">IF(C16=0,0,IFERROR(INDEX(KnownFactor,MATCH(Scope!$C16&amp;"|"&amp;Scope!$D16,KnownKey,0)),IFERROR(INDEX(ArchFactor,MATCH(D16,ArchNames,0),MATCH(E16,ArchNames,0)),1)))</f>
        <v>0</v>
      </c>
      <c r="G16" s="50" t="n">
        <f aca="false">IF(C16=0,0,IF(N(Scope!$AC16)&gt;0,MIN(FactorMax,MAX(FactorMin,Scope!$AC16)),F16))</f>
        <v>0</v>
      </c>
      <c r="H16" s="9" t="str">
        <f aca="false">IF(C16=0,"",IFERROR(INDEX(ApproachMatrix,MATCH(D16,ArchNames,0),MATCH(E16,ArchNames,0)),"Redesign"))</f>
        <v/>
      </c>
      <c r="I16" s="32" t="n">
        <f aca="false">IF(C16=0,0,IFERROR(INDEX(ApproachShares,MATCH(H16,ApproachNames,0)),1))</f>
        <v>0</v>
      </c>
      <c r="J16" s="29" t="n">
        <f aca="false">IF(AND(C16=1,Scope!$E16&lt;&gt;"",Scope!$F16&lt;&gt;"",Scope!$E16&lt;&gt;Scope!$F16),1,0)</f>
        <v>0</v>
      </c>
      <c r="K16" s="50" t="n">
        <f aca="false">1+J16*N(Scope!$K16)*DPRepUplift</f>
        <v>1</v>
      </c>
      <c r="L16" s="50" t="n">
        <f aca="false">1+J16*DPModelUplift</f>
        <v>1</v>
      </c>
      <c r="M16" s="50" t="n">
        <f aca="false">1+N(Scope!$J16)*(PaginatedFactor-1)</f>
        <v>1</v>
      </c>
      <c r="N16" s="23" t="n">
        <f aca="false">IF(Scope!$AE16="",AutoAssess,Scope!$AE16)*CapAssess</f>
        <v>0</v>
      </c>
      <c r="O16" s="23" t="n">
        <f aca="false">IF(Scope!$AF16="",AutoSem,Scope!$AF16)*CapSem</f>
        <v>0</v>
      </c>
      <c r="P16" s="23" t="n">
        <f aca="false">IF(Scope!$AG16="",AutoRep,Scope!$AG16)*CapRep</f>
        <v>0</v>
      </c>
      <c r="Q16" s="22" t="n">
        <f aca="false">C16*N(Scope!$H16)*N(Scope!$I16)</f>
        <v>0</v>
      </c>
      <c r="R16" s="51" t="n">
        <f aca="false">C16*N(Scope!$H16)*MAX(0,1-N(Scope!$P16)-N(Scope!$Q16))</f>
        <v>0</v>
      </c>
      <c r="S16" s="51" t="n">
        <f aca="false">R16*N(Scope!$R16)</f>
        <v>0</v>
      </c>
      <c r="T16" s="51" t="n">
        <f aca="false">R16-S16</f>
        <v>0</v>
      </c>
      <c r="U16" s="51" t="n">
        <f aca="false">T16*N(Scope!$I16)</f>
        <v>0</v>
      </c>
      <c r="V16" s="51" t="n">
        <f aca="false">S16*N(Scope!$I16)</f>
        <v>0</v>
      </c>
      <c r="W16" s="51" t="n">
        <f aca="false">C16*N(Scope!$H16)*N(Scope!$Q16)</f>
        <v>0</v>
      </c>
      <c r="X16" s="52" t="n">
        <f aca="false">N(Scope!$L16)*INDEX(HrsPage,1)+N(Scope!$M16)*INDEX(HrsPage,2)+N(Scope!$N16)*INDEX(HrsPage,3)+N(Scope!$O16)*INDEX(HrsPage,4)</f>
        <v>0</v>
      </c>
      <c r="Y16" s="22" t="n">
        <f aca="false">(U16*X16*K16*M16+V16*HrsDerived)*G16</f>
        <v>0</v>
      </c>
      <c r="Z16" s="22" t="n">
        <f aca="false">W16*MergeHrs*G16</f>
        <v>0</v>
      </c>
      <c r="AA16" s="22" t="n">
        <f aca="false">Y16*(1-LearnAvg)*(1-P16)+Z16</f>
        <v>0</v>
      </c>
      <c r="AB16" s="51" t="n">
        <f aca="false">C16*N(Scope!$X16)</f>
        <v>0</v>
      </c>
      <c r="AC16" s="51" t="n">
        <f aca="false">N(Scope!$T16)*INDEX(ModelHrs,1)+N(Scope!$U16)*INDEX(ModelHrs,2)+N(Scope!$V16)*INDEX(ModelHrs,3)+N(Scope!$W16)*INDEX(ModelHrs,4)</f>
        <v>0</v>
      </c>
      <c r="AD16" s="22" t="n">
        <f aca="false">AB16*AC16*I16*G16*L16</f>
        <v>0</v>
      </c>
      <c r="AE16" s="22" t="n">
        <f aca="false">C16*MAX(0,N(Scope!$S16)-N(Scope!$X16))*ConsolHrs*G16</f>
        <v>0</v>
      </c>
      <c r="AF16" s="22" t="n">
        <f aca="false">(AD16+AE16)*(1-O16)</f>
        <v>0</v>
      </c>
      <c r="AG16" s="22" t="n">
        <f aca="false">IF(C16=0,0,(IF(Q16&lt;=INDEX(AnchorPages,1),INDEX(AnchorAnalysis,1),IF(Q16&gt;=INDEX(AnchorPages,5),INDEX(AnchorAnalysis,5)+(Q16-INDEX(AnchorPages,5))*(INDEX(AnchorAnalysis,5)-INDEX(AnchorAnalysis,4))/(INDEX(AnchorPages,5)-INDEX(AnchorPages,4)),INDEX(AnchorAnalysis,MATCH(Q16,AnchorPages,1))+(Q16-INDEX(AnchorPages,MATCH(Q16,AnchorPages,1)))*(INDEX(AnchorAnalysis,MATCH(Q16,AnchorPages,1)+1)-INDEX(AnchorAnalysis,MATCH(Q16,AnchorPages,1)))/(INDEX(AnchorPages,MATCH(Q16,AnchorPages,1)+1)-INDEX(AnchorPages,MATCH(Q16,AnchorPages,1)))))*G16+N(Scope!$S16)*AssessPerModel)*(1-N16))</f>
        <v>0</v>
      </c>
      <c r="AH16" s="22" t="n">
        <f aca="false">IF(C16=0,0,AB16*IFERROR(INDEX(SecHrs,MATCH(Scope!$Y16,SecNames,0)),0)+N(Scope!$Z16)*SchedHrs+N(Scope!$AA16)*GroupHrs+HandoverHrs)</f>
        <v>0</v>
      </c>
      <c r="AI16" s="22" t="n">
        <f aca="false">AB16*IFERROR(INDEX(AIHrs,MATCH(Scope!$AB16,AINames,0)),0)</f>
        <v>0</v>
      </c>
      <c r="AJ16" s="22" t="n">
        <f aca="false">IF(AND(C16=1,MAX(N16,O16,P16,AutoSIT,AutoUAT,AutoDep)&gt;0),AutoSetupHrs,0)</f>
        <v>0</v>
      </c>
      <c r="AK16" s="22" t="n">
        <f aca="false">AA16+AF16+AG16+AH16+AI16+AJ16</f>
        <v>0</v>
      </c>
      <c r="AL16" s="22" t="n">
        <f aca="false">AA16+AF16</f>
        <v>0</v>
      </c>
      <c r="AM16" s="29" t="n">
        <f aca="false">IF(C16=0,0,MIN(5,MAX(1,INT(N(Scope!$G16)))))</f>
        <v>0</v>
      </c>
      <c r="AN16" s="32" t="n">
        <f aca="false">IF(C16=0,0,IFERROR(INDEX(ConfPct,MATCH(Scope!$AH16,ConfNames,0)),MAX(ConfPct)))</f>
        <v>0</v>
      </c>
      <c r="AO16" s="22" t="n">
        <f aca="false">IF(SUM($AL$7:$AL$26)&gt;0,AL16/SUM($AL$7:$AL$26)*ProgSharedHrs,0)</f>
        <v>0</v>
      </c>
      <c r="AP16" s="22" t="n">
        <f aca="false">AK16+AO16</f>
        <v>0</v>
      </c>
      <c r="AQ16" s="22" t="n">
        <f aca="false">AP16*AN16</f>
        <v>0</v>
      </c>
      <c r="AR16" s="29" t="n">
        <f aca="false">IF(C16=0,0,IF(OR(ABS(N(Scope!$L16)+N(Scope!$M16)+N(Scope!$N16)+N(Scope!$O16)-1)&gt;0.001,AND(N(Scope!$X16)&gt;0,ABS(N(Scope!$T16)+N(Scope!$U16)+N(Scope!$V16)+N(Scope!$W16)-1)&gt;0.001)),1,0))</f>
        <v>0</v>
      </c>
      <c r="AS16" s="29" t="n">
        <f aca="false">IF(AND(C16=1,N(Scope!$P16)+N(Scope!$Q16)&gt;1),1,0)</f>
        <v>0</v>
      </c>
      <c r="AT16" s="29" t="n">
        <f aca="false">IF(AND(C16=1,OR(D16="Unmapped",E16="Unmapped")),1,0)</f>
        <v>0</v>
      </c>
      <c r="AU16" s="29" t="n">
        <f aca="false">IF(AND(C16=1,N(Scope!$AC16)&gt;0,ROUND(N(Scope!$AC16)-F16,4)&lt;&gt;0,Scope!$AD16=""),1,0)</f>
        <v>0</v>
      </c>
      <c r="AV16" s="29" t="n">
        <f aca="false">IF(AND(C16=1,OR(N(Scope!$I16)&lt;1,N(Scope!$X16)&lt;1)),1,0)</f>
        <v>0</v>
      </c>
    </row>
    <row r="17" customFormat="false" ht="15" hidden="false" customHeight="false" outlineLevel="0" collapsed="false">
      <c r="A17" s="9" t="n">
        <f aca="false">Scope!$A17</f>
        <v>11</v>
      </c>
      <c r="B17" s="9" t="str">
        <f aca="false">IF(Scope!$B17="","",Scope!$B17)</f>
        <v/>
      </c>
      <c r="C17" s="29" t="n">
        <f aca="false">IF(AND(Scope!$C17&lt;&gt;"",Scope!$D17&lt;&gt;"",N(Scope!$H17)&gt;0),1,0)</f>
        <v>0</v>
      </c>
      <c r="D17" s="9" t="str">
        <f aca="false">IF(C17=0,"",IFERROR(INDEX(ToolArch,MATCH(Scope!$C17,ToolNames,0)),"Unmapped"))</f>
        <v/>
      </c>
      <c r="E17" s="9" t="str">
        <f aca="false">IF(C17=0,"",IFERROR(INDEX(ToolArch,MATCH(Scope!$D17,ToolNames,0)),"Unmapped"))</f>
        <v/>
      </c>
      <c r="F17" s="50" t="n">
        <f aca="false">IF(C17=0,0,IFERROR(INDEX(KnownFactor,MATCH(Scope!$C17&amp;"|"&amp;Scope!$D17,KnownKey,0)),IFERROR(INDEX(ArchFactor,MATCH(D17,ArchNames,0),MATCH(E17,ArchNames,0)),1)))</f>
        <v>0</v>
      </c>
      <c r="G17" s="50" t="n">
        <f aca="false">IF(C17=0,0,IF(N(Scope!$AC17)&gt;0,MIN(FactorMax,MAX(FactorMin,Scope!$AC17)),F17))</f>
        <v>0</v>
      </c>
      <c r="H17" s="9" t="str">
        <f aca="false">IF(C17=0,"",IFERROR(INDEX(ApproachMatrix,MATCH(D17,ArchNames,0),MATCH(E17,ArchNames,0)),"Redesign"))</f>
        <v/>
      </c>
      <c r="I17" s="32" t="n">
        <f aca="false">IF(C17=0,0,IFERROR(INDEX(ApproachShares,MATCH(H17,ApproachNames,0)),1))</f>
        <v>0</v>
      </c>
      <c r="J17" s="29" t="n">
        <f aca="false">IF(AND(C17=1,Scope!$E17&lt;&gt;"",Scope!$F17&lt;&gt;"",Scope!$E17&lt;&gt;Scope!$F17),1,0)</f>
        <v>0</v>
      </c>
      <c r="K17" s="50" t="n">
        <f aca="false">1+J17*N(Scope!$K17)*DPRepUplift</f>
        <v>1</v>
      </c>
      <c r="L17" s="50" t="n">
        <f aca="false">1+J17*DPModelUplift</f>
        <v>1</v>
      </c>
      <c r="M17" s="50" t="n">
        <f aca="false">1+N(Scope!$J17)*(PaginatedFactor-1)</f>
        <v>1</v>
      </c>
      <c r="N17" s="23" t="n">
        <f aca="false">IF(Scope!$AE17="",AutoAssess,Scope!$AE17)*CapAssess</f>
        <v>0</v>
      </c>
      <c r="O17" s="23" t="n">
        <f aca="false">IF(Scope!$AF17="",AutoSem,Scope!$AF17)*CapSem</f>
        <v>0</v>
      </c>
      <c r="P17" s="23" t="n">
        <f aca="false">IF(Scope!$AG17="",AutoRep,Scope!$AG17)*CapRep</f>
        <v>0</v>
      </c>
      <c r="Q17" s="22" t="n">
        <f aca="false">C17*N(Scope!$H17)*N(Scope!$I17)</f>
        <v>0</v>
      </c>
      <c r="R17" s="51" t="n">
        <f aca="false">C17*N(Scope!$H17)*MAX(0,1-N(Scope!$P17)-N(Scope!$Q17))</f>
        <v>0</v>
      </c>
      <c r="S17" s="51" t="n">
        <f aca="false">R17*N(Scope!$R17)</f>
        <v>0</v>
      </c>
      <c r="T17" s="51" t="n">
        <f aca="false">R17-S17</f>
        <v>0</v>
      </c>
      <c r="U17" s="51" t="n">
        <f aca="false">T17*N(Scope!$I17)</f>
        <v>0</v>
      </c>
      <c r="V17" s="51" t="n">
        <f aca="false">S17*N(Scope!$I17)</f>
        <v>0</v>
      </c>
      <c r="W17" s="51" t="n">
        <f aca="false">C17*N(Scope!$H17)*N(Scope!$Q17)</f>
        <v>0</v>
      </c>
      <c r="X17" s="52" t="n">
        <f aca="false">N(Scope!$L17)*INDEX(HrsPage,1)+N(Scope!$M17)*INDEX(HrsPage,2)+N(Scope!$N17)*INDEX(HrsPage,3)+N(Scope!$O17)*INDEX(HrsPage,4)</f>
        <v>0</v>
      </c>
      <c r="Y17" s="22" t="n">
        <f aca="false">(U17*X17*K17*M17+V17*HrsDerived)*G17</f>
        <v>0</v>
      </c>
      <c r="Z17" s="22" t="n">
        <f aca="false">W17*MergeHrs*G17</f>
        <v>0</v>
      </c>
      <c r="AA17" s="22" t="n">
        <f aca="false">Y17*(1-LearnAvg)*(1-P17)+Z17</f>
        <v>0</v>
      </c>
      <c r="AB17" s="51" t="n">
        <f aca="false">C17*N(Scope!$X17)</f>
        <v>0</v>
      </c>
      <c r="AC17" s="51" t="n">
        <f aca="false">N(Scope!$T17)*INDEX(ModelHrs,1)+N(Scope!$U17)*INDEX(ModelHrs,2)+N(Scope!$V17)*INDEX(ModelHrs,3)+N(Scope!$W17)*INDEX(ModelHrs,4)</f>
        <v>0</v>
      </c>
      <c r="AD17" s="22" t="n">
        <f aca="false">AB17*AC17*I17*G17*L17</f>
        <v>0</v>
      </c>
      <c r="AE17" s="22" t="n">
        <f aca="false">C17*MAX(0,N(Scope!$S17)-N(Scope!$X17))*ConsolHrs*G17</f>
        <v>0</v>
      </c>
      <c r="AF17" s="22" t="n">
        <f aca="false">(AD17+AE17)*(1-O17)</f>
        <v>0</v>
      </c>
      <c r="AG17" s="22" t="n">
        <f aca="false">IF(C17=0,0,(IF(Q17&lt;=INDEX(AnchorPages,1),INDEX(AnchorAnalysis,1),IF(Q17&gt;=INDEX(AnchorPages,5),INDEX(AnchorAnalysis,5)+(Q17-INDEX(AnchorPages,5))*(INDEX(AnchorAnalysis,5)-INDEX(AnchorAnalysis,4))/(INDEX(AnchorPages,5)-INDEX(AnchorPages,4)),INDEX(AnchorAnalysis,MATCH(Q17,AnchorPages,1))+(Q17-INDEX(AnchorPages,MATCH(Q17,AnchorPages,1)))*(INDEX(AnchorAnalysis,MATCH(Q17,AnchorPages,1)+1)-INDEX(AnchorAnalysis,MATCH(Q17,AnchorPages,1)))/(INDEX(AnchorPages,MATCH(Q17,AnchorPages,1)+1)-INDEX(AnchorPages,MATCH(Q17,AnchorPages,1)))))*G17+N(Scope!$S17)*AssessPerModel)*(1-N17))</f>
        <v>0</v>
      </c>
      <c r="AH17" s="22" t="n">
        <f aca="false">IF(C17=0,0,AB17*IFERROR(INDEX(SecHrs,MATCH(Scope!$Y17,SecNames,0)),0)+N(Scope!$Z17)*SchedHrs+N(Scope!$AA17)*GroupHrs+HandoverHrs)</f>
        <v>0</v>
      </c>
      <c r="AI17" s="22" t="n">
        <f aca="false">AB17*IFERROR(INDEX(AIHrs,MATCH(Scope!$AB17,AINames,0)),0)</f>
        <v>0</v>
      </c>
      <c r="AJ17" s="22" t="n">
        <f aca="false">IF(AND(C17=1,MAX(N17,O17,P17,AutoSIT,AutoUAT,AutoDep)&gt;0),AutoSetupHrs,0)</f>
        <v>0</v>
      </c>
      <c r="AK17" s="22" t="n">
        <f aca="false">AA17+AF17+AG17+AH17+AI17+AJ17</f>
        <v>0</v>
      </c>
      <c r="AL17" s="22" t="n">
        <f aca="false">AA17+AF17</f>
        <v>0</v>
      </c>
      <c r="AM17" s="29" t="n">
        <f aca="false">IF(C17=0,0,MIN(5,MAX(1,INT(N(Scope!$G17)))))</f>
        <v>0</v>
      </c>
      <c r="AN17" s="32" t="n">
        <f aca="false">IF(C17=0,0,IFERROR(INDEX(ConfPct,MATCH(Scope!$AH17,ConfNames,0)),MAX(ConfPct)))</f>
        <v>0</v>
      </c>
      <c r="AO17" s="22" t="n">
        <f aca="false">IF(SUM($AL$7:$AL$26)&gt;0,AL17/SUM($AL$7:$AL$26)*ProgSharedHrs,0)</f>
        <v>0</v>
      </c>
      <c r="AP17" s="22" t="n">
        <f aca="false">AK17+AO17</f>
        <v>0</v>
      </c>
      <c r="AQ17" s="22" t="n">
        <f aca="false">AP17*AN17</f>
        <v>0</v>
      </c>
      <c r="AR17" s="29" t="n">
        <f aca="false">IF(C17=0,0,IF(OR(ABS(N(Scope!$L17)+N(Scope!$M17)+N(Scope!$N17)+N(Scope!$O17)-1)&gt;0.001,AND(N(Scope!$X17)&gt;0,ABS(N(Scope!$T17)+N(Scope!$U17)+N(Scope!$V17)+N(Scope!$W17)-1)&gt;0.001)),1,0))</f>
        <v>0</v>
      </c>
      <c r="AS17" s="29" t="n">
        <f aca="false">IF(AND(C17=1,N(Scope!$P17)+N(Scope!$Q17)&gt;1),1,0)</f>
        <v>0</v>
      </c>
      <c r="AT17" s="29" t="n">
        <f aca="false">IF(AND(C17=1,OR(D17="Unmapped",E17="Unmapped")),1,0)</f>
        <v>0</v>
      </c>
      <c r="AU17" s="29" t="n">
        <f aca="false">IF(AND(C17=1,N(Scope!$AC17)&gt;0,ROUND(N(Scope!$AC17)-F17,4)&lt;&gt;0,Scope!$AD17=""),1,0)</f>
        <v>0</v>
      </c>
      <c r="AV17" s="29" t="n">
        <f aca="false">IF(AND(C17=1,OR(N(Scope!$I17)&lt;1,N(Scope!$X17)&lt;1)),1,0)</f>
        <v>0</v>
      </c>
    </row>
    <row r="18" customFormat="false" ht="15" hidden="false" customHeight="false" outlineLevel="0" collapsed="false">
      <c r="A18" s="9" t="n">
        <f aca="false">Scope!$A18</f>
        <v>12</v>
      </c>
      <c r="B18" s="9" t="str">
        <f aca="false">IF(Scope!$B18="","",Scope!$B18)</f>
        <v/>
      </c>
      <c r="C18" s="29" t="n">
        <f aca="false">IF(AND(Scope!$C18&lt;&gt;"",Scope!$D18&lt;&gt;"",N(Scope!$H18)&gt;0),1,0)</f>
        <v>0</v>
      </c>
      <c r="D18" s="9" t="str">
        <f aca="false">IF(C18=0,"",IFERROR(INDEX(ToolArch,MATCH(Scope!$C18,ToolNames,0)),"Unmapped"))</f>
        <v/>
      </c>
      <c r="E18" s="9" t="str">
        <f aca="false">IF(C18=0,"",IFERROR(INDEX(ToolArch,MATCH(Scope!$D18,ToolNames,0)),"Unmapped"))</f>
        <v/>
      </c>
      <c r="F18" s="50" t="n">
        <f aca="false">IF(C18=0,0,IFERROR(INDEX(KnownFactor,MATCH(Scope!$C18&amp;"|"&amp;Scope!$D18,KnownKey,0)),IFERROR(INDEX(ArchFactor,MATCH(D18,ArchNames,0),MATCH(E18,ArchNames,0)),1)))</f>
        <v>0</v>
      </c>
      <c r="G18" s="50" t="n">
        <f aca="false">IF(C18=0,0,IF(N(Scope!$AC18)&gt;0,MIN(FactorMax,MAX(FactorMin,Scope!$AC18)),F18))</f>
        <v>0</v>
      </c>
      <c r="H18" s="9" t="str">
        <f aca="false">IF(C18=0,"",IFERROR(INDEX(ApproachMatrix,MATCH(D18,ArchNames,0),MATCH(E18,ArchNames,0)),"Redesign"))</f>
        <v/>
      </c>
      <c r="I18" s="32" t="n">
        <f aca="false">IF(C18=0,0,IFERROR(INDEX(ApproachShares,MATCH(H18,ApproachNames,0)),1))</f>
        <v>0</v>
      </c>
      <c r="J18" s="29" t="n">
        <f aca="false">IF(AND(C18=1,Scope!$E18&lt;&gt;"",Scope!$F18&lt;&gt;"",Scope!$E18&lt;&gt;Scope!$F18),1,0)</f>
        <v>0</v>
      </c>
      <c r="K18" s="50" t="n">
        <f aca="false">1+J18*N(Scope!$K18)*DPRepUplift</f>
        <v>1</v>
      </c>
      <c r="L18" s="50" t="n">
        <f aca="false">1+J18*DPModelUplift</f>
        <v>1</v>
      </c>
      <c r="M18" s="50" t="n">
        <f aca="false">1+N(Scope!$J18)*(PaginatedFactor-1)</f>
        <v>1</v>
      </c>
      <c r="N18" s="23" t="n">
        <f aca="false">IF(Scope!$AE18="",AutoAssess,Scope!$AE18)*CapAssess</f>
        <v>0</v>
      </c>
      <c r="O18" s="23" t="n">
        <f aca="false">IF(Scope!$AF18="",AutoSem,Scope!$AF18)*CapSem</f>
        <v>0</v>
      </c>
      <c r="P18" s="23" t="n">
        <f aca="false">IF(Scope!$AG18="",AutoRep,Scope!$AG18)*CapRep</f>
        <v>0</v>
      </c>
      <c r="Q18" s="22" t="n">
        <f aca="false">C18*N(Scope!$H18)*N(Scope!$I18)</f>
        <v>0</v>
      </c>
      <c r="R18" s="51" t="n">
        <f aca="false">C18*N(Scope!$H18)*MAX(0,1-N(Scope!$P18)-N(Scope!$Q18))</f>
        <v>0</v>
      </c>
      <c r="S18" s="51" t="n">
        <f aca="false">R18*N(Scope!$R18)</f>
        <v>0</v>
      </c>
      <c r="T18" s="51" t="n">
        <f aca="false">R18-S18</f>
        <v>0</v>
      </c>
      <c r="U18" s="51" t="n">
        <f aca="false">T18*N(Scope!$I18)</f>
        <v>0</v>
      </c>
      <c r="V18" s="51" t="n">
        <f aca="false">S18*N(Scope!$I18)</f>
        <v>0</v>
      </c>
      <c r="W18" s="51" t="n">
        <f aca="false">C18*N(Scope!$H18)*N(Scope!$Q18)</f>
        <v>0</v>
      </c>
      <c r="X18" s="52" t="n">
        <f aca="false">N(Scope!$L18)*INDEX(HrsPage,1)+N(Scope!$M18)*INDEX(HrsPage,2)+N(Scope!$N18)*INDEX(HrsPage,3)+N(Scope!$O18)*INDEX(HrsPage,4)</f>
        <v>0</v>
      </c>
      <c r="Y18" s="22" t="n">
        <f aca="false">(U18*X18*K18*M18+V18*HrsDerived)*G18</f>
        <v>0</v>
      </c>
      <c r="Z18" s="22" t="n">
        <f aca="false">W18*MergeHrs*G18</f>
        <v>0</v>
      </c>
      <c r="AA18" s="22" t="n">
        <f aca="false">Y18*(1-LearnAvg)*(1-P18)+Z18</f>
        <v>0</v>
      </c>
      <c r="AB18" s="51" t="n">
        <f aca="false">C18*N(Scope!$X18)</f>
        <v>0</v>
      </c>
      <c r="AC18" s="51" t="n">
        <f aca="false">N(Scope!$T18)*INDEX(ModelHrs,1)+N(Scope!$U18)*INDEX(ModelHrs,2)+N(Scope!$V18)*INDEX(ModelHrs,3)+N(Scope!$W18)*INDEX(ModelHrs,4)</f>
        <v>0</v>
      </c>
      <c r="AD18" s="22" t="n">
        <f aca="false">AB18*AC18*I18*G18*L18</f>
        <v>0</v>
      </c>
      <c r="AE18" s="22" t="n">
        <f aca="false">C18*MAX(0,N(Scope!$S18)-N(Scope!$X18))*ConsolHrs*G18</f>
        <v>0</v>
      </c>
      <c r="AF18" s="22" t="n">
        <f aca="false">(AD18+AE18)*(1-O18)</f>
        <v>0</v>
      </c>
      <c r="AG18" s="22" t="n">
        <f aca="false">IF(C18=0,0,(IF(Q18&lt;=INDEX(AnchorPages,1),INDEX(AnchorAnalysis,1),IF(Q18&gt;=INDEX(AnchorPages,5),INDEX(AnchorAnalysis,5)+(Q18-INDEX(AnchorPages,5))*(INDEX(AnchorAnalysis,5)-INDEX(AnchorAnalysis,4))/(INDEX(AnchorPages,5)-INDEX(AnchorPages,4)),INDEX(AnchorAnalysis,MATCH(Q18,AnchorPages,1))+(Q18-INDEX(AnchorPages,MATCH(Q18,AnchorPages,1)))*(INDEX(AnchorAnalysis,MATCH(Q18,AnchorPages,1)+1)-INDEX(AnchorAnalysis,MATCH(Q18,AnchorPages,1)))/(INDEX(AnchorPages,MATCH(Q18,AnchorPages,1)+1)-INDEX(AnchorPages,MATCH(Q18,AnchorPages,1)))))*G18+N(Scope!$S18)*AssessPerModel)*(1-N18))</f>
        <v>0</v>
      </c>
      <c r="AH18" s="22" t="n">
        <f aca="false">IF(C18=0,0,AB18*IFERROR(INDEX(SecHrs,MATCH(Scope!$Y18,SecNames,0)),0)+N(Scope!$Z18)*SchedHrs+N(Scope!$AA18)*GroupHrs+HandoverHrs)</f>
        <v>0</v>
      </c>
      <c r="AI18" s="22" t="n">
        <f aca="false">AB18*IFERROR(INDEX(AIHrs,MATCH(Scope!$AB18,AINames,0)),0)</f>
        <v>0</v>
      </c>
      <c r="AJ18" s="22" t="n">
        <f aca="false">IF(AND(C18=1,MAX(N18,O18,P18,AutoSIT,AutoUAT,AutoDep)&gt;0),AutoSetupHrs,0)</f>
        <v>0</v>
      </c>
      <c r="AK18" s="22" t="n">
        <f aca="false">AA18+AF18+AG18+AH18+AI18+AJ18</f>
        <v>0</v>
      </c>
      <c r="AL18" s="22" t="n">
        <f aca="false">AA18+AF18</f>
        <v>0</v>
      </c>
      <c r="AM18" s="29" t="n">
        <f aca="false">IF(C18=0,0,MIN(5,MAX(1,INT(N(Scope!$G18)))))</f>
        <v>0</v>
      </c>
      <c r="AN18" s="32" t="n">
        <f aca="false">IF(C18=0,0,IFERROR(INDEX(ConfPct,MATCH(Scope!$AH18,ConfNames,0)),MAX(ConfPct)))</f>
        <v>0</v>
      </c>
      <c r="AO18" s="22" t="n">
        <f aca="false">IF(SUM($AL$7:$AL$26)&gt;0,AL18/SUM($AL$7:$AL$26)*ProgSharedHrs,0)</f>
        <v>0</v>
      </c>
      <c r="AP18" s="22" t="n">
        <f aca="false">AK18+AO18</f>
        <v>0</v>
      </c>
      <c r="AQ18" s="22" t="n">
        <f aca="false">AP18*AN18</f>
        <v>0</v>
      </c>
      <c r="AR18" s="29" t="n">
        <f aca="false">IF(C18=0,0,IF(OR(ABS(N(Scope!$L18)+N(Scope!$M18)+N(Scope!$N18)+N(Scope!$O18)-1)&gt;0.001,AND(N(Scope!$X18)&gt;0,ABS(N(Scope!$T18)+N(Scope!$U18)+N(Scope!$V18)+N(Scope!$W18)-1)&gt;0.001)),1,0))</f>
        <v>0</v>
      </c>
      <c r="AS18" s="29" t="n">
        <f aca="false">IF(AND(C18=1,N(Scope!$P18)+N(Scope!$Q18)&gt;1),1,0)</f>
        <v>0</v>
      </c>
      <c r="AT18" s="29" t="n">
        <f aca="false">IF(AND(C18=1,OR(D18="Unmapped",E18="Unmapped")),1,0)</f>
        <v>0</v>
      </c>
      <c r="AU18" s="29" t="n">
        <f aca="false">IF(AND(C18=1,N(Scope!$AC18)&gt;0,ROUND(N(Scope!$AC18)-F18,4)&lt;&gt;0,Scope!$AD18=""),1,0)</f>
        <v>0</v>
      </c>
      <c r="AV18" s="29" t="n">
        <f aca="false">IF(AND(C18=1,OR(N(Scope!$I18)&lt;1,N(Scope!$X18)&lt;1)),1,0)</f>
        <v>0</v>
      </c>
    </row>
    <row r="19" customFormat="false" ht="15" hidden="false" customHeight="false" outlineLevel="0" collapsed="false">
      <c r="A19" s="9" t="n">
        <f aca="false">Scope!$A19</f>
        <v>13</v>
      </c>
      <c r="B19" s="9" t="str">
        <f aca="false">IF(Scope!$B19="","",Scope!$B19)</f>
        <v/>
      </c>
      <c r="C19" s="29" t="n">
        <f aca="false">IF(AND(Scope!$C19&lt;&gt;"",Scope!$D19&lt;&gt;"",N(Scope!$H19)&gt;0),1,0)</f>
        <v>0</v>
      </c>
      <c r="D19" s="9" t="str">
        <f aca="false">IF(C19=0,"",IFERROR(INDEX(ToolArch,MATCH(Scope!$C19,ToolNames,0)),"Unmapped"))</f>
        <v/>
      </c>
      <c r="E19" s="9" t="str">
        <f aca="false">IF(C19=0,"",IFERROR(INDEX(ToolArch,MATCH(Scope!$D19,ToolNames,0)),"Unmapped"))</f>
        <v/>
      </c>
      <c r="F19" s="50" t="n">
        <f aca="false">IF(C19=0,0,IFERROR(INDEX(KnownFactor,MATCH(Scope!$C19&amp;"|"&amp;Scope!$D19,KnownKey,0)),IFERROR(INDEX(ArchFactor,MATCH(D19,ArchNames,0),MATCH(E19,ArchNames,0)),1)))</f>
        <v>0</v>
      </c>
      <c r="G19" s="50" t="n">
        <f aca="false">IF(C19=0,0,IF(N(Scope!$AC19)&gt;0,MIN(FactorMax,MAX(FactorMin,Scope!$AC19)),F19))</f>
        <v>0</v>
      </c>
      <c r="H19" s="9" t="str">
        <f aca="false">IF(C19=0,"",IFERROR(INDEX(ApproachMatrix,MATCH(D19,ArchNames,0),MATCH(E19,ArchNames,0)),"Redesign"))</f>
        <v/>
      </c>
      <c r="I19" s="32" t="n">
        <f aca="false">IF(C19=0,0,IFERROR(INDEX(ApproachShares,MATCH(H19,ApproachNames,0)),1))</f>
        <v>0</v>
      </c>
      <c r="J19" s="29" t="n">
        <f aca="false">IF(AND(C19=1,Scope!$E19&lt;&gt;"",Scope!$F19&lt;&gt;"",Scope!$E19&lt;&gt;Scope!$F19),1,0)</f>
        <v>0</v>
      </c>
      <c r="K19" s="50" t="n">
        <f aca="false">1+J19*N(Scope!$K19)*DPRepUplift</f>
        <v>1</v>
      </c>
      <c r="L19" s="50" t="n">
        <f aca="false">1+J19*DPModelUplift</f>
        <v>1</v>
      </c>
      <c r="M19" s="50" t="n">
        <f aca="false">1+N(Scope!$J19)*(PaginatedFactor-1)</f>
        <v>1</v>
      </c>
      <c r="N19" s="23" t="n">
        <f aca="false">IF(Scope!$AE19="",AutoAssess,Scope!$AE19)*CapAssess</f>
        <v>0</v>
      </c>
      <c r="O19" s="23" t="n">
        <f aca="false">IF(Scope!$AF19="",AutoSem,Scope!$AF19)*CapSem</f>
        <v>0</v>
      </c>
      <c r="P19" s="23" t="n">
        <f aca="false">IF(Scope!$AG19="",AutoRep,Scope!$AG19)*CapRep</f>
        <v>0</v>
      </c>
      <c r="Q19" s="22" t="n">
        <f aca="false">C19*N(Scope!$H19)*N(Scope!$I19)</f>
        <v>0</v>
      </c>
      <c r="R19" s="51" t="n">
        <f aca="false">C19*N(Scope!$H19)*MAX(0,1-N(Scope!$P19)-N(Scope!$Q19))</f>
        <v>0</v>
      </c>
      <c r="S19" s="51" t="n">
        <f aca="false">R19*N(Scope!$R19)</f>
        <v>0</v>
      </c>
      <c r="T19" s="51" t="n">
        <f aca="false">R19-S19</f>
        <v>0</v>
      </c>
      <c r="U19" s="51" t="n">
        <f aca="false">T19*N(Scope!$I19)</f>
        <v>0</v>
      </c>
      <c r="V19" s="51" t="n">
        <f aca="false">S19*N(Scope!$I19)</f>
        <v>0</v>
      </c>
      <c r="W19" s="51" t="n">
        <f aca="false">C19*N(Scope!$H19)*N(Scope!$Q19)</f>
        <v>0</v>
      </c>
      <c r="X19" s="52" t="n">
        <f aca="false">N(Scope!$L19)*INDEX(HrsPage,1)+N(Scope!$M19)*INDEX(HrsPage,2)+N(Scope!$N19)*INDEX(HrsPage,3)+N(Scope!$O19)*INDEX(HrsPage,4)</f>
        <v>0</v>
      </c>
      <c r="Y19" s="22" t="n">
        <f aca="false">(U19*X19*K19*M19+V19*HrsDerived)*G19</f>
        <v>0</v>
      </c>
      <c r="Z19" s="22" t="n">
        <f aca="false">W19*MergeHrs*G19</f>
        <v>0</v>
      </c>
      <c r="AA19" s="22" t="n">
        <f aca="false">Y19*(1-LearnAvg)*(1-P19)+Z19</f>
        <v>0</v>
      </c>
      <c r="AB19" s="51" t="n">
        <f aca="false">C19*N(Scope!$X19)</f>
        <v>0</v>
      </c>
      <c r="AC19" s="51" t="n">
        <f aca="false">N(Scope!$T19)*INDEX(ModelHrs,1)+N(Scope!$U19)*INDEX(ModelHrs,2)+N(Scope!$V19)*INDEX(ModelHrs,3)+N(Scope!$W19)*INDEX(ModelHrs,4)</f>
        <v>0</v>
      </c>
      <c r="AD19" s="22" t="n">
        <f aca="false">AB19*AC19*I19*G19*L19</f>
        <v>0</v>
      </c>
      <c r="AE19" s="22" t="n">
        <f aca="false">C19*MAX(0,N(Scope!$S19)-N(Scope!$X19))*ConsolHrs*G19</f>
        <v>0</v>
      </c>
      <c r="AF19" s="22" t="n">
        <f aca="false">(AD19+AE19)*(1-O19)</f>
        <v>0</v>
      </c>
      <c r="AG19" s="22" t="n">
        <f aca="false">IF(C19=0,0,(IF(Q19&lt;=INDEX(AnchorPages,1),INDEX(AnchorAnalysis,1),IF(Q19&gt;=INDEX(AnchorPages,5),INDEX(AnchorAnalysis,5)+(Q19-INDEX(AnchorPages,5))*(INDEX(AnchorAnalysis,5)-INDEX(AnchorAnalysis,4))/(INDEX(AnchorPages,5)-INDEX(AnchorPages,4)),INDEX(AnchorAnalysis,MATCH(Q19,AnchorPages,1))+(Q19-INDEX(AnchorPages,MATCH(Q19,AnchorPages,1)))*(INDEX(AnchorAnalysis,MATCH(Q19,AnchorPages,1)+1)-INDEX(AnchorAnalysis,MATCH(Q19,AnchorPages,1)))/(INDEX(AnchorPages,MATCH(Q19,AnchorPages,1)+1)-INDEX(AnchorPages,MATCH(Q19,AnchorPages,1)))))*G19+N(Scope!$S19)*AssessPerModel)*(1-N19))</f>
        <v>0</v>
      </c>
      <c r="AH19" s="22" t="n">
        <f aca="false">IF(C19=0,0,AB19*IFERROR(INDEX(SecHrs,MATCH(Scope!$Y19,SecNames,0)),0)+N(Scope!$Z19)*SchedHrs+N(Scope!$AA19)*GroupHrs+HandoverHrs)</f>
        <v>0</v>
      </c>
      <c r="AI19" s="22" t="n">
        <f aca="false">AB19*IFERROR(INDEX(AIHrs,MATCH(Scope!$AB19,AINames,0)),0)</f>
        <v>0</v>
      </c>
      <c r="AJ19" s="22" t="n">
        <f aca="false">IF(AND(C19=1,MAX(N19,O19,P19,AutoSIT,AutoUAT,AutoDep)&gt;0),AutoSetupHrs,0)</f>
        <v>0</v>
      </c>
      <c r="AK19" s="22" t="n">
        <f aca="false">AA19+AF19+AG19+AH19+AI19+AJ19</f>
        <v>0</v>
      </c>
      <c r="AL19" s="22" t="n">
        <f aca="false">AA19+AF19</f>
        <v>0</v>
      </c>
      <c r="AM19" s="29" t="n">
        <f aca="false">IF(C19=0,0,MIN(5,MAX(1,INT(N(Scope!$G19)))))</f>
        <v>0</v>
      </c>
      <c r="AN19" s="32" t="n">
        <f aca="false">IF(C19=0,0,IFERROR(INDEX(ConfPct,MATCH(Scope!$AH19,ConfNames,0)),MAX(ConfPct)))</f>
        <v>0</v>
      </c>
      <c r="AO19" s="22" t="n">
        <f aca="false">IF(SUM($AL$7:$AL$26)&gt;0,AL19/SUM($AL$7:$AL$26)*ProgSharedHrs,0)</f>
        <v>0</v>
      </c>
      <c r="AP19" s="22" t="n">
        <f aca="false">AK19+AO19</f>
        <v>0</v>
      </c>
      <c r="AQ19" s="22" t="n">
        <f aca="false">AP19*AN19</f>
        <v>0</v>
      </c>
      <c r="AR19" s="29" t="n">
        <f aca="false">IF(C19=0,0,IF(OR(ABS(N(Scope!$L19)+N(Scope!$M19)+N(Scope!$N19)+N(Scope!$O19)-1)&gt;0.001,AND(N(Scope!$X19)&gt;0,ABS(N(Scope!$T19)+N(Scope!$U19)+N(Scope!$V19)+N(Scope!$W19)-1)&gt;0.001)),1,0))</f>
        <v>0</v>
      </c>
      <c r="AS19" s="29" t="n">
        <f aca="false">IF(AND(C19=1,N(Scope!$P19)+N(Scope!$Q19)&gt;1),1,0)</f>
        <v>0</v>
      </c>
      <c r="AT19" s="29" t="n">
        <f aca="false">IF(AND(C19=1,OR(D19="Unmapped",E19="Unmapped")),1,0)</f>
        <v>0</v>
      </c>
      <c r="AU19" s="29" t="n">
        <f aca="false">IF(AND(C19=1,N(Scope!$AC19)&gt;0,ROUND(N(Scope!$AC19)-F19,4)&lt;&gt;0,Scope!$AD19=""),1,0)</f>
        <v>0</v>
      </c>
      <c r="AV19" s="29" t="n">
        <f aca="false">IF(AND(C19=1,OR(N(Scope!$I19)&lt;1,N(Scope!$X19)&lt;1)),1,0)</f>
        <v>0</v>
      </c>
    </row>
    <row r="20" customFormat="false" ht="15" hidden="false" customHeight="false" outlineLevel="0" collapsed="false">
      <c r="A20" s="9" t="n">
        <f aca="false">Scope!$A20</f>
        <v>14</v>
      </c>
      <c r="B20" s="9" t="str">
        <f aca="false">IF(Scope!$B20="","",Scope!$B20)</f>
        <v/>
      </c>
      <c r="C20" s="29" t="n">
        <f aca="false">IF(AND(Scope!$C20&lt;&gt;"",Scope!$D20&lt;&gt;"",N(Scope!$H20)&gt;0),1,0)</f>
        <v>0</v>
      </c>
      <c r="D20" s="9" t="str">
        <f aca="false">IF(C20=0,"",IFERROR(INDEX(ToolArch,MATCH(Scope!$C20,ToolNames,0)),"Unmapped"))</f>
        <v/>
      </c>
      <c r="E20" s="9" t="str">
        <f aca="false">IF(C20=0,"",IFERROR(INDEX(ToolArch,MATCH(Scope!$D20,ToolNames,0)),"Unmapped"))</f>
        <v/>
      </c>
      <c r="F20" s="50" t="n">
        <f aca="false">IF(C20=0,0,IFERROR(INDEX(KnownFactor,MATCH(Scope!$C20&amp;"|"&amp;Scope!$D20,KnownKey,0)),IFERROR(INDEX(ArchFactor,MATCH(D20,ArchNames,0),MATCH(E20,ArchNames,0)),1)))</f>
        <v>0</v>
      </c>
      <c r="G20" s="50" t="n">
        <f aca="false">IF(C20=0,0,IF(N(Scope!$AC20)&gt;0,MIN(FactorMax,MAX(FactorMin,Scope!$AC20)),F20))</f>
        <v>0</v>
      </c>
      <c r="H20" s="9" t="str">
        <f aca="false">IF(C20=0,"",IFERROR(INDEX(ApproachMatrix,MATCH(D20,ArchNames,0),MATCH(E20,ArchNames,0)),"Redesign"))</f>
        <v/>
      </c>
      <c r="I20" s="32" t="n">
        <f aca="false">IF(C20=0,0,IFERROR(INDEX(ApproachShares,MATCH(H20,ApproachNames,0)),1))</f>
        <v>0</v>
      </c>
      <c r="J20" s="29" t="n">
        <f aca="false">IF(AND(C20=1,Scope!$E20&lt;&gt;"",Scope!$F20&lt;&gt;"",Scope!$E20&lt;&gt;Scope!$F20),1,0)</f>
        <v>0</v>
      </c>
      <c r="K20" s="50" t="n">
        <f aca="false">1+J20*N(Scope!$K20)*DPRepUplift</f>
        <v>1</v>
      </c>
      <c r="L20" s="50" t="n">
        <f aca="false">1+J20*DPModelUplift</f>
        <v>1</v>
      </c>
      <c r="M20" s="50" t="n">
        <f aca="false">1+N(Scope!$J20)*(PaginatedFactor-1)</f>
        <v>1</v>
      </c>
      <c r="N20" s="23" t="n">
        <f aca="false">IF(Scope!$AE20="",AutoAssess,Scope!$AE20)*CapAssess</f>
        <v>0</v>
      </c>
      <c r="O20" s="23" t="n">
        <f aca="false">IF(Scope!$AF20="",AutoSem,Scope!$AF20)*CapSem</f>
        <v>0</v>
      </c>
      <c r="P20" s="23" t="n">
        <f aca="false">IF(Scope!$AG20="",AutoRep,Scope!$AG20)*CapRep</f>
        <v>0</v>
      </c>
      <c r="Q20" s="22" t="n">
        <f aca="false">C20*N(Scope!$H20)*N(Scope!$I20)</f>
        <v>0</v>
      </c>
      <c r="R20" s="51" t="n">
        <f aca="false">C20*N(Scope!$H20)*MAX(0,1-N(Scope!$P20)-N(Scope!$Q20))</f>
        <v>0</v>
      </c>
      <c r="S20" s="51" t="n">
        <f aca="false">R20*N(Scope!$R20)</f>
        <v>0</v>
      </c>
      <c r="T20" s="51" t="n">
        <f aca="false">R20-S20</f>
        <v>0</v>
      </c>
      <c r="U20" s="51" t="n">
        <f aca="false">T20*N(Scope!$I20)</f>
        <v>0</v>
      </c>
      <c r="V20" s="51" t="n">
        <f aca="false">S20*N(Scope!$I20)</f>
        <v>0</v>
      </c>
      <c r="W20" s="51" t="n">
        <f aca="false">C20*N(Scope!$H20)*N(Scope!$Q20)</f>
        <v>0</v>
      </c>
      <c r="X20" s="52" t="n">
        <f aca="false">N(Scope!$L20)*INDEX(HrsPage,1)+N(Scope!$M20)*INDEX(HrsPage,2)+N(Scope!$N20)*INDEX(HrsPage,3)+N(Scope!$O20)*INDEX(HrsPage,4)</f>
        <v>0</v>
      </c>
      <c r="Y20" s="22" t="n">
        <f aca="false">(U20*X20*K20*M20+V20*HrsDerived)*G20</f>
        <v>0</v>
      </c>
      <c r="Z20" s="22" t="n">
        <f aca="false">W20*MergeHrs*G20</f>
        <v>0</v>
      </c>
      <c r="AA20" s="22" t="n">
        <f aca="false">Y20*(1-LearnAvg)*(1-P20)+Z20</f>
        <v>0</v>
      </c>
      <c r="AB20" s="51" t="n">
        <f aca="false">C20*N(Scope!$X20)</f>
        <v>0</v>
      </c>
      <c r="AC20" s="51" t="n">
        <f aca="false">N(Scope!$T20)*INDEX(ModelHrs,1)+N(Scope!$U20)*INDEX(ModelHrs,2)+N(Scope!$V20)*INDEX(ModelHrs,3)+N(Scope!$W20)*INDEX(ModelHrs,4)</f>
        <v>0</v>
      </c>
      <c r="AD20" s="22" t="n">
        <f aca="false">AB20*AC20*I20*G20*L20</f>
        <v>0</v>
      </c>
      <c r="AE20" s="22" t="n">
        <f aca="false">C20*MAX(0,N(Scope!$S20)-N(Scope!$X20))*ConsolHrs*G20</f>
        <v>0</v>
      </c>
      <c r="AF20" s="22" t="n">
        <f aca="false">(AD20+AE20)*(1-O20)</f>
        <v>0</v>
      </c>
      <c r="AG20" s="22" t="n">
        <f aca="false">IF(C20=0,0,(IF(Q20&lt;=INDEX(AnchorPages,1),INDEX(AnchorAnalysis,1),IF(Q20&gt;=INDEX(AnchorPages,5),INDEX(AnchorAnalysis,5)+(Q20-INDEX(AnchorPages,5))*(INDEX(AnchorAnalysis,5)-INDEX(AnchorAnalysis,4))/(INDEX(AnchorPages,5)-INDEX(AnchorPages,4)),INDEX(AnchorAnalysis,MATCH(Q20,AnchorPages,1))+(Q20-INDEX(AnchorPages,MATCH(Q20,AnchorPages,1)))*(INDEX(AnchorAnalysis,MATCH(Q20,AnchorPages,1)+1)-INDEX(AnchorAnalysis,MATCH(Q20,AnchorPages,1)))/(INDEX(AnchorPages,MATCH(Q20,AnchorPages,1)+1)-INDEX(AnchorPages,MATCH(Q20,AnchorPages,1)))))*G20+N(Scope!$S20)*AssessPerModel)*(1-N20))</f>
        <v>0</v>
      </c>
      <c r="AH20" s="22" t="n">
        <f aca="false">IF(C20=0,0,AB20*IFERROR(INDEX(SecHrs,MATCH(Scope!$Y20,SecNames,0)),0)+N(Scope!$Z20)*SchedHrs+N(Scope!$AA20)*GroupHrs+HandoverHrs)</f>
        <v>0</v>
      </c>
      <c r="AI20" s="22" t="n">
        <f aca="false">AB20*IFERROR(INDEX(AIHrs,MATCH(Scope!$AB20,AINames,0)),0)</f>
        <v>0</v>
      </c>
      <c r="AJ20" s="22" t="n">
        <f aca="false">IF(AND(C20=1,MAX(N20,O20,P20,AutoSIT,AutoUAT,AutoDep)&gt;0),AutoSetupHrs,0)</f>
        <v>0</v>
      </c>
      <c r="AK20" s="22" t="n">
        <f aca="false">AA20+AF20+AG20+AH20+AI20+AJ20</f>
        <v>0</v>
      </c>
      <c r="AL20" s="22" t="n">
        <f aca="false">AA20+AF20</f>
        <v>0</v>
      </c>
      <c r="AM20" s="29" t="n">
        <f aca="false">IF(C20=0,0,MIN(5,MAX(1,INT(N(Scope!$G20)))))</f>
        <v>0</v>
      </c>
      <c r="AN20" s="32" t="n">
        <f aca="false">IF(C20=0,0,IFERROR(INDEX(ConfPct,MATCH(Scope!$AH20,ConfNames,0)),MAX(ConfPct)))</f>
        <v>0</v>
      </c>
      <c r="AO20" s="22" t="n">
        <f aca="false">IF(SUM($AL$7:$AL$26)&gt;0,AL20/SUM($AL$7:$AL$26)*ProgSharedHrs,0)</f>
        <v>0</v>
      </c>
      <c r="AP20" s="22" t="n">
        <f aca="false">AK20+AO20</f>
        <v>0</v>
      </c>
      <c r="AQ20" s="22" t="n">
        <f aca="false">AP20*AN20</f>
        <v>0</v>
      </c>
      <c r="AR20" s="29" t="n">
        <f aca="false">IF(C20=0,0,IF(OR(ABS(N(Scope!$L20)+N(Scope!$M20)+N(Scope!$N20)+N(Scope!$O20)-1)&gt;0.001,AND(N(Scope!$X20)&gt;0,ABS(N(Scope!$T20)+N(Scope!$U20)+N(Scope!$V20)+N(Scope!$W20)-1)&gt;0.001)),1,0))</f>
        <v>0</v>
      </c>
      <c r="AS20" s="29" t="n">
        <f aca="false">IF(AND(C20=1,N(Scope!$P20)+N(Scope!$Q20)&gt;1),1,0)</f>
        <v>0</v>
      </c>
      <c r="AT20" s="29" t="n">
        <f aca="false">IF(AND(C20=1,OR(D20="Unmapped",E20="Unmapped")),1,0)</f>
        <v>0</v>
      </c>
      <c r="AU20" s="29" t="n">
        <f aca="false">IF(AND(C20=1,N(Scope!$AC20)&gt;0,ROUND(N(Scope!$AC20)-F20,4)&lt;&gt;0,Scope!$AD20=""),1,0)</f>
        <v>0</v>
      </c>
      <c r="AV20" s="29" t="n">
        <f aca="false">IF(AND(C20=1,OR(N(Scope!$I20)&lt;1,N(Scope!$X20)&lt;1)),1,0)</f>
        <v>0</v>
      </c>
    </row>
    <row r="21" customFormat="false" ht="15" hidden="false" customHeight="false" outlineLevel="0" collapsed="false">
      <c r="A21" s="9" t="n">
        <f aca="false">Scope!$A21</f>
        <v>15</v>
      </c>
      <c r="B21" s="9" t="str">
        <f aca="false">IF(Scope!$B21="","",Scope!$B21)</f>
        <v/>
      </c>
      <c r="C21" s="29" t="n">
        <f aca="false">IF(AND(Scope!$C21&lt;&gt;"",Scope!$D21&lt;&gt;"",N(Scope!$H21)&gt;0),1,0)</f>
        <v>0</v>
      </c>
      <c r="D21" s="9" t="str">
        <f aca="false">IF(C21=0,"",IFERROR(INDEX(ToolArch,MATCH(Scope!$C21,ToolNames,0)),"Unmapped"))</f>
        <v/>
      </c>
      <c r="E21" s="9" t="str">
        <f aca="false">IF(C21=0,"",IFERROR(INDEX(ToolArch,MATCH(Scope!$D21,ToolNames,0)),"Unmapped"))</f>
        <v/>
      </c>
      <c r="F21" s="50" t="n">
        <f aca="false">IF(C21=0,0,IFERROR(INDEX(KnownFactor,MATCH(Scope!$C21&amp;"|"&amp;Scope!$D21,KnownKey,0)),IFERROR(INDEX(ArchFactor,MATCH(D21,ArchNames,0),MATCH(E21,ArchNames,0)),1)))</f>
        <v>0</v>
      </c>
      <c r="G21" s="50" t="n">
        <f aca="false">IF(C21=0,0,IF(N(Scope!$AC21)&gt;0,MIN(FactorMax,MAX(FactorMin,Scope!$AC21)),F21))</f>
        <v>0</v>
      </c>
      <c r="H21" s="9" t="str">
        <f aca="false">IF(C21=0,"",IFERROR(INDEX(ApproachMatrix,MATCH(D21,ArchNames,0),MATCH(E21,ArchNames,0)),"Redesign"))</f>
        <v/>
      </c>
      <c r="I21" s="32" t="n">
        <f aca="false">IF(C21=0,0,IFERROR(INDEX(ApproachShares,MATCH(H21,ApproachNames,0)),1))</f>
        <v>0</v>
      </c>
      <c r="J21" s="29" t="n">
        <f aca="false">IF(AND(C21=1,Scope!$E21&lt;&gt;"",Scope!$F21&lt;&gt;"",Scope!$E21&lt;&gt;Scope!$F21),1,0)</f>
        <v>0</v>
      </c>
      <c r="K21" s="50" t="n">
        <f aca="false">1+J21*N(Scope!$K21)*DPRepUplift</f>
        <v>1</v>
      </c>
      <c r="L21" s="50" t="n">
        <f aca="false">1+J21*DPModelUplift</f>
        <v>1</v>
      </c>
      <c r="M21" s="50" t="n">
        <f aca="false">1+N(Scope!$J21)*(PaginatedFactor-1)</f>
        <v>1</v>
      </c>
      <c r="N21" s="23" t="n">
        <f aca="false">IF(Scope!$AE21="",AutoAssess,Scope!$AE21)*CapAssess</f>
        <v>0</v>
      </c>
      <c r="O21" s="23" t="n">
        <f aca="false">IF(Scope!$AF21="",AutoSem,Scope!$AF21)*CapSem</f>
        <v>0</v>
      </c>
      <c r="P21" s="23" t="n">
        <f aca="false">IF(Scope!$AG21="",AutoRep,Scope!$AG21)*CapRep</f>
        <v>0</v>
      </c>
      <c r="Q21" s="22" t="n">
        <f aca="false">C21*N(Scope!$H21)*N(Scope!$I21)</f>
        <v>0</v>
      </c>
      <c r="R21" s="51" t="n">
        <f aca="false">C21*N(Scope!$H21)*MAX(0,1-N(Scope!$P21)-N(Scope!$Q21))</f>
        <v>0</v>
      </c>
      <c r="S21" s="51" t="n">
        <f aca="false">R21*N(Scope!$R21)</f>
        <v>0</v>
      </c>
      <c r="T21" s="51" t="n">
        <f aca="false">R21-S21</f>
        <v>0</v>
      </c>
      <c r="U21" s="51" t="n">
        <f aca="false">T21*N(Scope!$I21)</f>
        <v>0</v>
      </c>
      <c r="V21" s="51" t="n">
        <f aca="false">S21*N(Scope!$I21)</f>
        <v>0</v>
      </c>
      <c r="W21" s="51" t="n">
        <f aca="false">C21*N(Scope!$H21)*N(Scope!$Q21)</f>
        <v>0</v>
      </c>
      <c r="X21" s="52" t="n">
        <f aca="false">N(Scope!$L21)*INDEX(HrsPage,1)+N(Scope!$M21)*INDEX(HrsPage,2)+N(Scope!$N21)*INDEX(HrsPage,3)+N(Scope!$O21)*INDEX(HrsPage,4)</f>
        <v>0</v>
      </c>
      <c r="Y21" s="22" t="n">
        <f aca="false">(U21*X21*K21*M21+V21*HrsDerived)*G21</f>
        <v>0</v>
      </c>
      <c r="Z21" s="22" t="n">
        <f aca="false">W21*MergeHrs*G21</f>
        <v>0</v>
      </c>
      <c r="AA21" s="22" t="n">
        <f aca="false">Y21*(1-LearnAvg)*(1-P21)+Z21</f>
        <v>0</v>
      </c>
      <c r="AB21" s="51" t="n">
        <f aca="false">C21*N(Scope!$X21)</f>
        <v>0</v>
      </c>
      <c r="AC21" s="51" t="n">
        <f aca="false">N(Scope!$T21)*INDEX(ModelHrs,1)+N(Scope!$U21)*INDEX(ModelHrs,2)+N(Scope!$V21)*INDEX(ModelHrs,3)+N(Scope!$W21)*INDEX(ModelHrs,4)</f>
        <v>0</v>
      </c>
      <c r="AD21" s="22" t="n">
        <f aca="false">AB21*AC21*I21*G21*L21</f>
        <v>0</v>
      </c>
      <c r="AE21" s="22" t="n">
        <f aca="false">C21*MAX(0,N(Scope!$S21)-N(Scope!$X21))*ConsolHrs*G21</f>
        <v>0</v>
      </c>
      <c r="AF21" s="22" t="n">
        <f aca="false">(AD21+AE21)*(1-O21)</f>
        <v>0</v>
      </c>
      <c r="AG21" s="22" t="n">
        <f aca="false">IF(C21=0,0,(IF(Q21&lt;=INDEX(AnchorPages,1),INDEX(AnchorAnalysis,1),IF(Q21&gt;=INDEX(AnchorPages,5),INDEX(AnchorAnalysis,5)+(Q21-INDEX(AnchorPages,5))*(INDEX(AnchorAnalysis,5)-INDEX(AnchorAnalysis,4))/(INDEX(AnchorPages,5)-INDEX(AnchorPages,4)),INDEX(AnchorAnalysis,MATCH(Q21,AnchorPages,1))+(Q21-INDEX(AnchorPages,MATCH(Q21,AnchorPages,1)))*(INDEX(AnchorAnalysis,MATCH(Q21,AnchorPages,1)+1)-INDEX(AnchorAnalysis,MATCH(Q21,AnchorPages,1)))/(INDEX(AnchorPages,MATCH(Q21,AnchorPages,1)+1)-INDEX(AnchorPages,MATCH(Q21,AnchorPages,1)))))*G21+N(Scope!$S21)*AssessPerModel)*(1-N21))</f>
        <v>0</v>
      </c>
      <c r="AH21" s="22" t="n">
        <f aca="false">IF(C21=0,0,AB21*IFERROR(INDEX(SecHrs,MATCH(Scope!$Y21,SecNames,0)),0)+N(Scope!$Z21)*SchedHrs+N(Scope!$AA21)*GroupHrs+HandoverHrs)</f>
        <v>0</v>
      </c>
      <c r="AI21" s="22" t="n">
        <f aca="false">AB21*IFERROR(INDEX(AIHrs,MATCH(Scope!$AB21,AINames,0)),0)</f>
        <v>0</v>
      </c>
      <c r="AJ21" s="22" t="n">
        <f aca="false">IF(AND(C21=1,MAX(N21,O21,P21,AutoSIT,AutoUAT,AutoDep)&gt;0),AutoSetupHrs,0)</f>
        <v>0</v>
      </c>
      <c r="AK21" s="22" t="n">
        <f aca="false">AA21+AF21+AG21+AH21+AI21+AJ21</f>
        <v>0</v>
      </c>
      <c r="AL21" s="22" t="n">
        <f aca="false">AA21+AF21</f>
        <v>0</v>
      </c>
      <c r="AM21" s="29" t="n">
        <f aca="false">IF(C21=0,0,MIN(5,MAX(1,INT(N(Scope!$G21)))))</f>
        <v>0</v>
      </c>
      <c r="AN21" s="32" t="n">
        <f aca="false">IF(C21=0,0,IFERROR(INDEX(ConfPct,MATCH(Scope!$AH21,ConfNames,0)),MAX(ConfPct)))</f>
        <v>0</v>
      </c>
      <c r="AO21" s="22" t="n">
        <f aca="false">IF(SUM($AL$7:$AL$26)&gt;0,AL21/SUM($AL$7:$AL$26)*ProgSharedHrs,0)</f>
        <v>0</v>
      </c>
      <c r="AP21" s="22" t="n">
        <f aca="false">AK21+AO21</f>
        <v>0</v>
      </c>
      <c r="AQ21" s="22" t="n">
        <f aca="false">AP21*AN21</f>
        <v>0</v>
      </c>
      <c r="AR21" s="29" t="n">
        <f aca="false">IF(C21=0,0,IF(OR(ABS(N(Scope!$L21)+N(Scope!$M21)+N(Scope!$N21)+N(Scope!$O21)-1)&gt;0.001,AND(N(Scope!$X21)&gt;0,ABS(N(Scope!$T21)+N(Scope!$U21)+N(Scope!$V21)+N(Scope!$W21)-1)&gt;0.001)),1,0))</f>
        <v>0</v>
      </c>
      <c r="AS21" s="29" t="n">
        <f aca="false">IF(AND(C21=1,N(Scope!$P21)+N(Scope!$Q21)&gt;1),1,0)</f>
        <v>0</v>
      </c>
      <c r="AT21" s="29" t="n">
        <f aca="false">IF(AND(C21=1,OR(D21="Unmapped",E21="Unmapped")),1,0)</f>
        <v>0</v>
      </c>
      <c r="AU21" s="29" t="n">
        <f aca="false">IF(AND(C21=1,N(Scope!$AC21)&gt;0,ROUND(N(Scope!$AC21)-F21,4)&lt;&gt;0,Scope!$AD21=""),1,0)</f>
        <v>0</v>
      </c>
      <c r="AV21" s="29" t="n">
        <f aca="false">IF(AND(C21=1,OR(N(Scope!$I21)&lt;1,N(Scope!$X21)&lt;1)),1,0)</f>
        <v>0</v>
      </c>
    </row>
    <row r="22" customFormat="false" ht="15" hidden="false" customHeight="false" outlineLevel="0" collapsed="false">
      <c r="A22" s="9" t="n">
        <f aca="false">Scope!$A22</f>
        <v>16</v>
      </c>
      <c r="B22" s="9" t="str">
        <f aca="false">IF(Scope!$B22="","",Scope!$B22)</f>
        <v/>
      </c>
      <c r="C22" s="29" t="n">
        <f aca="false">IF(AND(Scope!$C22&lt;&gt;"",Scope!$D22&lt;&gt;"",N(Scope!$H22)&gt;0),1,0)</f>
        <v>0</v>
      </c>
      <c r="D22" s="9" t="str">
        <f aca="false">IF(C22=0,"",IFERROR(INDEX(ToolArch,MATCH(Scope!$C22,ToolNames,0)),"Unmapped"))</f>
        <v/>
      </c>
      <c r="E22" s="9" t="str">
        <f aca="false">IF(C22=0,"",IFERROR(INDEX(ToolArch,MATCH(Scope!$D22,ToolNames,0)),"Unmapped"))</f>
        <v/>
      </c>
      <c r="F22" s="50" t="n">
        <f aca="false">IF(C22=0,0,IFERROR(INDEX(KnownFactor,MATCH(Scope!$C22&amp;"|"&amp;Scope!$D22,KnownKey,0)),IFERROR(INDEX(ArchFactor,MATCH(D22,ArchNames,0),MATCH(E22,ArchNames,0)),1)))</f>
        <v>0</v>
      </c>
      <c r="G22" s="50" t="n">
        <f aca="false">IF(C22=0,0,IF(N(Scope!$AC22)&gt;0,MIN(FactorMax,MAX(FactorMin,Scope!$AC22)),F22))</f>
        <v>0</v>
      </c>
      <c r="H22" s="9" t="str">
        <f aca="false">IF(C22=0,"",IFERROR(INDEX(ApproachMatrix,MATCH(D22,ArchNames,0),MATCH(E22,ArchNames,0)),"Redesign"))</f>
        <v/>
      </c>
      <c r="I22" s="32" t="n">
        <f aca="false">IF(C22=0,0,IFERROR(INDEX(ApproachShares,MATCH(H22,ApproachNames,0)),1))</f>
        <v>0</v>
      </c>
      <c r="J22" s="29" t="n">
        <f aca="false">IF(AND(C22=1,Scope!$E22&lt;&gt;"",Scope!$F22&lt;&gt;"",Scope!$E22&lt;&gt;Scope!$F22),1,0)</f>
        <v>0</v>
      </c>
      <c r="K22" s="50" t="n">
        <f aca="false">1+J22*N(Scope!$K22)*DPRepUplift</f>
        <v>1</v>
      </c>
      <c r="L22" s="50" t="n">
        <f aca="false">1+J22*DPModelUplift</f>
        <v>1</v>
      </c>
      <c r="M22" s="50" t="n">
        <f aca="false">1+N(Scope!$J22)*(PaginatedFactor-1)</f>
        <v>1</v>
      </c>
      <c r="N22" s="23" t="n">
        <f aca="false">IF(Scope!$AE22="",AutoAssess,Scope!$AE22)*CapAssess</f>
        <v>0</v>
      </c>
      <c r="O22" s="23" t="n">
        <f aca="false">IF(Scope!$AF22="",AutoSem,Scope!$AF22)*CapSem</f>
        <v>0</v>
      </c>
      <c r="P22" s="23" t="n">
        <f aca="false">IF(Scope!$AG22="",AutoRep,Scope!$AG22)*CapRep</f>
        <v>0</v>
      </c>
      <c r="Q22" s="22" t="n">
        <f aca="false">C22*N(Scope!$H22)*N(Scope!$I22)</f>
        <v>0</v>
      </c>
      <c r="R22" s="51" t="n">
        <f aca="false">C22*N(Scope!$H22)*MAX(0,1-N(Scope!$P22)-N(Scope!$Q22))</f>
        <v>0</v>
      </c>
      <c r="S22" s="51" t="n">
        <f aca="false">R22*N(Scope!$R22)</f>
        <v>0</v>
      </c>
      <c r="T22" s="51" t="n">
        <f aca="false">R22-S22</f>
        <v>0</v>
      </c>
      <c r="U22" s="51" t="n">
        <f aca="false">T22*N(Scope!$I22)</f>
        <v>0</v>
      </c>
      <c r="V22" s="51" t="n">
        <f aca="false">S22*N(Scope!$I22)</f>
        <v>0</v>
      </c>
      <c r="W22" s="51" t="n">
        <f aca="false">C22*N(Scope!$H22)*N(Scope!$Q22)</f>
        <v>0</v>
      </c>
      <c r="X22" s="52" t="n">
        <f aca="false">N(Scope!$L22)*INDEX(HrsPage,1)+N(Scope!$M22)*INDEX(HrsPage,2)+N(Scope!$N22)*INDEX(HrsPage,3)+N(Scope!$O22)*INDEX(HrsPage,4)</f>
        <v>0</v>
      </c>
      <c r="Y22" s="22" t="n">
        <f aca="false">(U22*X22*K22*M22+V22*HrsDerived)*G22</f>
        <v>0</v>
      </c>
      <c r="Z22" s="22" t="n">
        <f aca="false">W22*MergeHrs*G22</f>
        <v>0</v>
      </c>
      <c r="AA22" s="22" t="n">
        <f aca="false">Y22*(1-LearnAvg)*(1-P22)+Z22</f>
        <v>0</v>
      </c>
      <c r="AB22" s="51" t="n">
        <f aca="false">C22*N(Scope!$X22)</f>
        <v>0</v>
      </c>
      <c r="AC22" s="51" t="n">
        <f aca="false">N(Scope!$T22)*INDEX(ModelHrs,1)+N(Scope!$U22)*INDEX(ModelHrs,2)+N(Scope!$V22)*INDEX(ModelHrs,3)+N(Scope!$W22)*INDEX(ModelHrs,4)</f>
        <v>0</v>
      </c>
      <c r="AD22" s="22" t="n">
        <f aca="false">AB22*AC22*I22*G22*L22</f>
        <v>0</v>
      </c>
      <c r="AE22" s="22" t="n">
        <f aca="false">C22*MAX(0,N(Scope!$S22)-N(Scope!$X22))*ConsolHrs*G22</f>
        <v>0</v>
      </c>
      <c r="AF22" s="22" t="n">
        <f aca="false">(AD22+AE22)*(1-O22)</f>
        <v>0</v>
      </c>
      <c r="AG22" s="22" t="n">
        <f aca="false">IF(C22=0,0,(IF(Q22&lt;=INDEX(AnchorPages,1),INDEX(AnchorAnalysis,1),IF(Q22&gt;=INDEX(AnchorPages,5),INDEX(AnchorAnalysis,5)+(Q22-INDEX(AnchorPages,5))*(INDEX(AnchorAnalysis,5)-INDEX(AnchorAnalysis,4))/(INDEX(AnchorPages,5)-INDEX(AnchorPages,4)),INDEX(AnchorAnalysis,MATCH(Q22,AnchorPages,1))+(Q22-INDEX(AnchorPages,MATCH(Q22,AnchorPages,1)))*(INDEX(AnchorAnalysis,MATCH(Q22,AnchorPages,1)+1)-INDEX(AnchorAnalysis,MATCH(Q22,AnchorPages,1)))/(INDEX(AnchorPages,MATCH(Q22,AnchorPages,1)+1)-INDEX(AnchorPages,MATCH(Q22,AnchorPages,1)))))*G22+N(Scope!$S22)*AssessPerModel)*(1-N22))</f>
        <v>0</v>
      </c>
      <c r="AH22" s="22" t="n">
        <f aca="false">IF(C22=0,0,AB22*IFERROR(INDEX(SecHrs,MATCH(Scope!$Y22,SecNames,0)),0)+N(Scope!$Z22)*SchedHrs+N(Scope!$AA22)*GroupHrs+HandoverHrs)</f>
        <v>0</v>
      </c>
      <c r="AI22" s="22" t="n">
        <f aca="false">AB22*IFERROR(INDEX(AIHrs,MATCH(Scope!$AB22,AINames,0)),0)</f>
        <v>0</v>
      </c>
      <c r="AJ22" s="22" t="n">
        <f aca="false">IF(AND(C22=1,MAX(N22,O22,P22,AutoSIT,AutoUAT,AutoDep)&gt;0),AutoSetupHrs,0)</f>
        <v>0</v>
      </c>
      <c r="AK22" s="22" t="n">
        <f aca="false">AA22+AF22+AG22+AH22+AI22+AJ22</f>
        <v>0</v>
      </c>
      <c r="AL22" s="22" t="n">
        <f aca="false">AA22+AF22</f>
        <v>0</v>
      </c>
      <c r="AM22" s="29" t="n">
        <f aca="false">IF(C22=0,0,MIN(5,MAX(1,INT(N(Scope!$G22)))))</f>
        <v>0</v>
      </c>
      <c r="AN22" s="32" t="n">
        <f aca="false">IF(C22=0,0,IFERROR(INDEX(ConfPct,MATCH(Scope!$AH22,ConfNames,0)),MAX(ConfPct)))</f>
        <v>0</v>
      </c>
      <c r="AO22" s="22" t="n">
        <f aca="false">IF(SUM($AL$7:$AL$26)&gt;0,AL22/SUM($AL$7:$AL$26)*ProgSharedHrs,0)</f>
        <v>0</v>
      </c>
      <c r="AP22" s="22" t="n">
        <f aca="false">AK22+AO22</f>
        <v>0</v>
      </c>
      <c r="AQ22" s="22" t="n">
        <f aca="false">AP22*AN22</f>
        <v>0</v>
      </c>
      <c r="AR22" s="29" t="n">
        <f aca="false">IF(C22=0,0,IF(OR(ABS(N(Scope!$L22)+N(Scope!$M22)+N(Scope!$N22)+N(Scope!$O22)-1)&gt;0.001,AND(N(Scope!$X22)&gt;0,ABS(N(Scope!$T22)+N(Scope!$U22)+N(Scope!$V22)+N(Scope!$W22)-1)&gt;0.001)),1,0))</f>
        <v>0</v>
      </c>
      <c r="AS22" s="29" t="n">
        <f aca="false">IF(AND(C22=1,N(Scope!$P22)+N(Scope!$Q22)&gt;1),1,0)</f>
        <v>0</v>
      </c>
      <c r="AT22" s="29" t="n">
        <f aca="false">IF(AND(C22=1,OR(D22="Unmapped",E22="Unmapped")),1,0)</f>
        <v>0</v>
      </c>
      <c r="AU22" s="29" t="n">
        <f aca="false">IF(AND(C22=1,N(Scope!$AC22)&gt;0,ROUND(N(Scope!$AC22)-F22,4)&lt;&gt;0,Scope!$AD22=""),1,0)</f>
        <v>0</v>
      </c>
      <c r="AV22" s="29" t="n">
        <f aca="false">IF(AND(C22=1,OR(N(Scope!$I22)&lt;1,N(Scope!$X22)&lt;1)),1,0)</f>
        <v>0</v>
      </c>
    </row>
    <row r="23" customFormat="false" ht="15" hidden="false" customHeight="false" outlineLevel="0" collapsed="false">
      <c r="A23" s="9" t="n">
        <f aca="false">Scope!$A23</f>
        <v>17</v>
      </c>
      <c r="B23" s="9" t="str">
        <f aca="false">IF(Scope!$B23="","",Scope!$B23)</f>
        <v/>
      </c>
      <c r="C23" s="29" t="n">
        <f aca="false">IF(AND(Scope!$C23&lt;&gt;"",Scope!$D23&lt;&gt;"",N(Scope!$H23)&gt;0),1,0)</f>
        <v>0</v>
      </c>
      <c r="D23" s="9" t="str">
        <f aca="false">IF(C23=0,"",IFERROR(INDEX(ToolArch,MATCH(Scope!$C23,ToolNames,0)),"Unmapped"))</f>
        <v/>
      </c>
      <c r="E23" s="9" t="str">
        <f aca="false">IF(C23=0,"",IFERROR(INDEX(ToolArch,MATCH(Scope!$D23,ToolNames,0)),"Unmapped"))</f>
        <v/>
      </c>
      <c r="F23" s="50" t="n">
        <f aca="false">IF(C23=0,0,IFERROR(INDEX(KnownFactor,MATCH(Scope!$C23&amp;"|"&amp;Scope!$D23,KnownKey,0)),IFERROR(INDEX(ArchFactor,MATCH(D23,ArchNames,0),MATCH(E23,ArchNames,0)),1)))</f>
        <v>0</v>
      </c>
      <c r="G23" s="50" t="n">
        <f aca="false">IF(C23=0,0,IF(N(Scope!$AC23)&gt;0,MIN(FactorMax,MAX(FactorMin,Scope!$AC23)),F23))</f>
        <v>0</v>
      </c>
      <c r="H23" s="9" t="str">
        <f aca="false">IF(C23=0,"",IFERROR(INDEX(ApproachMatrix,MATCH(D23,ArchNames,0),MATCH(E23,ArchNames,0)),"Redesign"))</f>
        <v/>
      </c>
      <c r="I23" s="32" t="n">
        <f aca="false">IF(C23=0,0,IFERROR(INDEX(ApproachShares,MATCH(H23,ApproachNames,0)),1))</f>
        <v>0</v>
      </c>
      <c r="J23" s="29" t="n">
        <f aca="false">IF(AND(C23=1,Scope!$E23&lt;&gt;"",Scope!$F23&lt;&gt;"",Scope!$E23&lt;&gt;Scope!$F23),1,0)</f>
        <v>0</v>
      </c>
      <c r="K23" s="50" t="n">
        <f aca="false">1+J23*N(Scope!$K23)*DPRepUplift</f>
        <v>1</v>
      </c>
      <c r="L23" s="50" t="n">
        <f aca="false">1+J23*DPModelUplift</f>
        <v>1</v>
      </c>
      <c r="M23" s="50" t="n">
        <f aca="false">1+N(Scope!$J23)*(PaginatedFactor-1)</f>
        <v>1</v>
      </c>
      <c r="N23" s="23" t="n">
        <f aca="false">IF(Scope!$AE23="",AutoAssess,Scope!$AE23)*CapAssess</f>
        <v>0</v>
      </c>
      <c r="O23" s="23" t="n">
        <f aca="false">IF(Scope!$AF23="",AutoSem,Scope!$AF23)*CapSem</f>
        <v>0</v>
      </c>
      <c r="P23" s="23" t="n">
        <f aca="false">IF(Scope!$AG23="",AutoRep,Scope!$AG23)*CapRep</f>
        <v>0</v>
      </c>
      <c r="Q23" s="22" t="n">
        <f aca="false">C23*N(Scope!$H23)*N(Scope!$I23)</f>
        <v>0</v>
      </c>
      <c r="R23" s="51" t="n">
        <f aca="false">C23*N(Scope!$H23)*MAX(0,1-N(Scope!$P23)-N(Scope!$Q23))</f>
        <v>0</v>
      </c>
      <c r="S23" s="51" t="n">
        <f aca="false">R23*N(Scope!$R23)</f>
        <v>0</v>
      </c>
      <c r="T23" s="51" t="n">
        <f aca="false">R23-S23</f>
        <v>0</v>
      </c>
      <c r="U23" s="51" t="n">
        <f aca="false">T23*N(Scope!$I23)</f>
        <v>0</v>
      </c>
      <c r="V23" s="51" t="n">
        <f aca="false">S23*N(Scope!$I23)</f>
        <v>0</v>
      </c>
      <c r="W23" s="51" t="n">
        <f aca="false">C23*N(Scope!$H23)*N(Scope!$Q23)</f>
        <v>0</v>
      </c>
      <c r="X23" s="52" t="n">
        <f aca="false">N(Scope!$L23)*INDEX(HrsPage,1)+N(Scope!$M23)*INDEX(HrsPage,2)+N(Scope!$N23)*INDEX(HrsPage,3)+N(Scope!$O23)*INDEX(HrsPage,4)</f>
        <v>0</v>
      </c>
      <c r="Y23" s="22" t="n">
        <f aca="false">(U23*X23*K23*M23+V23*HrsDerived)*G23</f>
        <v>0</v>
      </c>
      <c r="Z23" s="22" t="n">
        <f aca="false">W23*MergeHrs*G23</f>
        <v>0</v>
      </c>
      <c r="AA23" s="22" t="n">
        <f aca="false">Y23*(1-LearnAvg)*(1-P23)+Z23</f>
        <v>0</v>
      </c>
      <c r="AB23" s="51" t="n">
        <f aca="false">C23*N(Scope!$X23)</f>
        <v>0</v>
      </c>
      <c r="AC23" s="51" t="n">
        <f aca="false">N(Scope!$T23)*INDEX(ModelHrs,1)+N(Scope!$U23)*INDEX(ModelHrs,2)+N(Scope!$V23)*INDEX(ModelHrs,3)+N(Scope!$W23)*INDEX(ModelHrs,4)</f>
        <v>0</v>
      </c>
      <c r="AD23" s="22" t="n">
        <f aca="false">AB23*AC23*I23*G23*L23</f>
        <v>0</v>
      </c>
      <c r="AE23" s="22" t="n">
        <f aca="false">C23*MAX(0,N(Scope!$S23)-N(Scope!$X23))*ConsolHrs*G23</f>
        <v>0</v>
      </c>
      <c r="AF23" s="22" t="n">
        <f aca="false">(AD23+AE23)*(1-O23)</f>
        <v>0</v>
      </c>
      <c r="AG23" s="22" t="n">
        <f aca="false">IF(C23=0,0,(IF(Q23&lt;=INDEX(AnchorPages,1),INDEX(AnchorAnalysis,1),IF(Q23&gt;=INDEX(AnchorPages,5),INDEX(AnchorAnalysis,5)+(Q23-INDEX(AnchorPages,5))*(INDEX(AnchorAnalysis,5)-INDEX(AnchorAnalysis,4))/(INDEX(AnchorPages,5)-INDEX(AnchorPages,4)),INDEX(AnchorAnalysis,MATCH(Q23,AnchorPages,1))+(Q23-INDEX(AnchorPages,MATCH(Q23,AnchorPages,1)))*(INDEX(AnchorAnalysis,MATCH(Q23,AnchorPages,1)+1)-INDEX(AnchorAnalysis,MATCH(Q23,AnchorPages,1)))/(INDEX(AnchorPages,MATCH(Q23,AnchorPages,1)+1)-INDEX(AnchorPages,MATCH(Q23,AnchorPages,1)))))*G23+N(Scope!$S23)*AssessPerModel)*(1-N23))</f>
        <v>0</v>
      </c>
      <c r="AH23" s="22" t="n">
        <f aca="false">IF(C23=0,0,AB23*IFERROR(INDEX(SecHrs,MATCH(Scope!$Y23,SecNames,0)),0)+N(Scope!$Z23)*SchedHrs+N(Scope!$AA23)*GroupHrs+HandoverHrs)</f>
        <v>0</v>
      </c>
      <c r="AI23" s="22" t="n">
        <f aca="false">AB23*IFERROR(INDEX(AIHrs,MATCH(Scope!$AB23,AINames,0)),0)</f>
        <v>0</v>
      </c>
      <c r="AJ23" s="22" t="n">
        <f aca="false">IF(AND(C23=1,MAX(N23,O23,P23,AutoSIT,AutoUAT,AutoDep)&gt;0),AutoSetupHrs,0)</f>
        <v>0</v>
      </c>
      <c r="AK23" s="22" t="n">
        <f aca="false">AA23+AF23+AG23+AH23+AI23+AJ23</f>
        <v>0</v>
      </c>
      <c r="AL23" s="22" t="n">
        <f aca="false">AA23+AF23</f>
        <v>0</v>
      </c>
      <c r="AM23" s="29" t="n">
        <f aca="false">IF(C23=0,0,MIN(5,MAX(1,INT(N(Scope!$G23)))))</f>
        <v>0</v>
      </c>
      <c r="AN23" s="32" t="n">
        <f aca="false">IF(C23=0,0,IFERROR(INDEX(ConfPct,MATCH(Scope!$AH23,ConfNames,0)),MAX(ConfPct)))</f>
        <v>0</v>
      </c>
      <c r="AO23" s="22" t="n">
        <f aca="false">IF(SUM($AL$7:$AL$26)&gt;0,AL23/SUM($AL$7:$AL$26)*ProgSharedHrs,0)</f>
        <v>0</v>
      </c>
      <c r="AP23" s="22" t="n">
        <f aca="false">AK23+AO23</f>
        <v>0</v>
      </c>
      <c r="AQ23" s="22" t="n">
        <f aca="false">AP23*AN23</f>
        <v>0</v>
      </c>
      <c r="AR23" s="29" t="n">
        <f aca="false">IF(C23=0,0,IF(OR(ABS(N(Scope!$L23)+N(Scope!$M23)+N(Scope!$N23)+N(Scope!$O23)-1)&gt;0.001,AND(N(Scope!$X23)&gt;0,ABS(N(Scope!$T23)+N(Scope!$U23)+N(Scope!$V23)+N(Scope!$W23)-1)&gt;0.001)),1,0))</f>
        <v>0</v>
      </c>
      <c r="AS23" s="29" t="n">
        <f aca="false">IF(AND(C23=1,N(Scope!$P23)+N(Scope!$Q23)&gt;1),1,0)</f>
        <v>0</v>
      </c>
      <c r="AT23" s="29" t="n">
        <f aca="false">IF(AND(C23=1,OR(D23="Unmapped",E23="Unmapped")),1,0)</f>
        <v>0</v>
      </c>
      <c r="AU23" s="29" t="n">
        <f aca="false">IF(AND(C23=1,N(Scope!$AC23)&gt;0,ROUND(N(Scope!$AC23)-F23,4)&lt;&gt;0,Scope!$AD23=""),1,0)</f>
        <v>0</v>
      </c>
      <c r="AV23" s="29" t="n">
        <f aca="false">IF(AND(C23=1,OR(N(Scope!$I23)&lt;1,N(Scope!$X23)&lt;1)),1,0)</f>
        <v>0</v>
      </c>
    </row>
    <row r="24" customFormat="false" ht="15" hidden="false" customHeight="false" outlineLevel="0" collapsed="false">
      <c r="A24" s="9" t="n">
        <f aca="false">Scope!$A24</f>
        <v>18</v>
      </c>
      <c r="B24" s="9" t="str">
        <f aca="false">IF(Scope!$B24="","",Scope!$B24)</f>
        <v/>
      </c>
      <c r="C24" s="29" t="n">
        <f aca="false">IF(AND(Scope!$C24&lt;&gt;"",Scope!$D24&lt;&gt;"",N(Scope!$H24)&gt;0),1,0)</f>
        <v>0</v>
      </c>
      <c r="D24" s="9" t="str">
        <f aca="false">IF(C24=0,"",IFERROR(INDEX(ToolArch,MATCH(Scope!$C24,ToolNames,0)),"Unmapped"))</f>
        <v/>
      </c>
      <c r="E24" s="9" t="str">
        <f aca="false">IF(C24=0,"",IFERROR(INDEX(ToolArch,MATCH(Scope!$D24,ToolNames,0)),"Unmapped"))</f>
        <v/>
      </c>
      <c r="F24" s="50" t="n">
        <f aca="false">IF(C24=0,0,IFERROR(INDEX(KnownFactor,MATCH(Scope!$C24&amp;"|"&amp;Scope!$D24,KnownKey,0)),IFERROR(INDEX(ArchFactor,MATCH(D24,ArchNames,0),MATCH(E24,ArchNames,0)),1)))</f>
        <v>0</v>
      </c>
      <c r="G24" s="50" t="n">
        <f aca="false">IF(C24=0,0,IF(N(Scope!$AC24)&gt;0,MIN(FactorMax,MAX(FactorMin,Scope!$AC24)),F24))</f>
        <v>0</v>
      </c>
      <c r="H24" s="9" t="str">
        <f aca="false">IF(C24=0,"",IFERROR(INDEX(ApproachMatrix,MATCH(D24,ArchNames,0),MATCH(E24,ArchNames,0)),"Redesign"))</f>
        <v/>
      </c>
      <c r="I24" s="32" t="n">
        <f aca="false">IF(C24=0,0,IFERROR(INDEX(ApproachShares,MATCH(H24,ApproachNames,0)),1))</f>
        <v>0</v>
      </c>
      <c r="J24" s="29" t="n">
        <f aca="false">IF(AND(C24=1,Scope!$E24&lt;&gt;"",Scope!$F24&lt;&gt;"",Scope!$E24&lt;&gt;Scope!$F24),1,0)</f>
        <v>0</v>
      </c>
      <c r="K24" s="50" t="n">
        <f aca="false">1+J24*N(Scope!$K24)*DPRepUplift</f>
        <v>1</v>
      </c>
      <c r="L24" s="50" t="n">
        <f aca="false">1+J24*DPModelUplift</f>
        <v>1</v>
      </c>
      <c r="M24" s="50" t="n">
        <f aca="false">1+N(Scope!$J24)*(PaginatedFactor-1)</f>
        <v>1</v>
      </c>
      <c r="N24" s="23" t="n">
        <f aca="false">IF(Scope!$AE24="",AutoAssess,Scope!$AE24)*CapAssess</f>
        <v>0</v>
      </c>
      <c r="O24" s="23" t="n">
        <f aca="false">IF(Scope!$AF24="",AutoSem,Scope!$AF24)*CapSem</f>
        <v>0</v>
      </c>
      <c r="P24" s="23" t="n">
        <f aca="false">IF(Scope!$AG24="",AutoRep,Scope!$AG24)*CapRep</f>
        <v>0</v>
      </c>
      <c r="Q24" s="22" t="n">
        <f aca="false">C24*N(Scope!$H24)*N(Scope!$I24)</f>
        <v>0</v>
      </c>
      <c r="R24" s="51" t="n">
        <f aca="false">C24*N(Scope!$H24)*MAX(0,1-N(Scope!$P24)-N(Scope!$Q24))</f>
        <v>0</v>
      </c>
      <c r="S24" s="51" t="n">
        <f aca="false">R24*N(Scope!$R24)</f>
        <v>0</v>
      </c>
      <c r="T24" s="51" t="n">
        <f aca="false">R24-S24</f>
        <v>0</v>
      </c>
      <c r="U24" s="51" t="n">
        <f aca="false">T24*N(Scope!$I24)</f>
        <v>0</v>
      </c>
      <c r="V24" s="51" t="n">
        <f aca="false">S24*N(Scope!$I24)</f>
        <v>0</v>
      </c>
      <c r="W24" s="51" t="n">
        <f aca="false">C24*N(Scope!$H24)*N(Scope!$Q24)</f>
        <v>0</v>
      </c>
      <c r="X24" s="52" t="n">
        <f aca="false">N(Scope!$L24)*INDEX(HrsPage,1)+N(Scope!$M24)*INDEX(HrsPage,2)+N(Scope!$N24)*INDEX(HrsPage,3)+N(Scope!$O24)*INDEX(HrsPage,4)</f>
        <v>0</v>
      </c>
      <c r="Y24" s="22" t="n">
        <f aca="false">(U24*X24*K24*M24+V24*HrsDerived)*G24</f>
        <v>0</v>
      </c>
      <c r="Z24" s="22" t="n">
        <f aca="false">W24*MergeHrs*G24</f>
        <v>0</v>
      </c>
      <c r="AA24" s="22" t="n">
        <f aca="false">Y24*(1-LearnAvg)*(1-P24)+Z24</f>
        <v>0</v>
      </c>
      <c r="AB24" s="51" t="n">
        <f aca="false">C24*N(Scope!$X24)</f>
        <v>0</v>
      </c>
      <c r="AC24" s="51" t="n">
        <f aca="false">N(Scope!$T24)*INDEX(ModelHrs,1)+N(Scope!$U24)*INDEX(ModelHrs,2)+N(Scope!$V24)*INDEX(ModelHrs,3)+N(Scope!$W24)*INDEX(ModelHrs,4)</f>
        <v>0</v>
      </c>
      <c r="AD24" s="22" t="n">
        <f aca="false">AB24*AC24*I24*G24*L24</f>
        <v>0</v>
      </c>
      <c r="AE24" s="22" t="n">
        <f aca="false">C24*MAX(0,N(Scope!$S24)-N(Scope!$X24))*ConsolHrs*G24</f>
        <v>0</v>
      </c>
      <c r="AF24" s="22" t="n">
        <f aca="false">(AD24+AE24)*(1-O24)</f>
        <v>0</v>
      </c>
      <c r="AG24" s="22" t="n">
        <f aca="false">IF(C24=0,0,(IF(Q24&lt;=INDEX(AnchorPages,1),INDEX(AnchorAnalysis,1),IF(Q24&gt;=INDEX(AnchorPages,5),INDEX(AnchorAnalysis,5)+(Q24-INDEX(AnchorPages,5))*(INDEX(AnchorAnalysis,5)-INDEX(AnchorAnalysis,4))/(INDEX(AnchorPages,5)-INDEX(AnchorPages,4)),INDEX(AnchorAnalysis,MATCH(Q24,AnchorPages,1))+(Q24-INDEX(AnchorPages,MATCH(Q24,AnchorPages,1)))*(INDEX(AnchorAnalysis,MATCH(Q24,AnchorPages,1)+1)-INDEX(AnchorAnalysis,MATCH(Q24,AnchorPages,1)))/(INDEX(AnchorPages,MATCH(Q24,AnchorPages,1)+1)-INDEX(AnchorPages,MATCH(Q24,AnchorPages,1)))))*G24+N(Scope!$S24)*AssessPerModel)*(1-N24))</f>
        <v>0</v>
      </c>
      <c r="AH24" s="22" t="n">
        <f aca="false">IF(C24=0,0,AB24*IFERROR(INDEX(SecHrs,MATCH(Scope!$Y24,SecNames,0)),0)+N(Scope!$Z24)*SchedHrs+N(Scope!$AA24)*GroupHrs+HandoverHrs)</f>
        <v>0</v>
      </c>
      <c r="AI24" s="22" t="n">
        <f aca="false">AB24*IFERROR(INDEX(AIHrs,MATCH(Scope!$AB24,AINames,0)),0)</f>
        <v>0</v>
      </c>
      <c r="AJ24" s="22" t="n">
        <f aca="false">IF(AND(C24=1,MAX(N24,O24,P24,AutoSIT,AutoUAT,AutoDep)&gt;0),AutoSetupHrs,0)</f>
        <v>0</v>
      </c>
      <c r="AK24" s="22" t="n">
        <f aca="false">AA24+AF24+AG24+AH24+AI24+AJ24</f>
        <v>0</v>
      </c>
      <c r="AL24" s="22" t="n">
        <f aca="false">AA24+AF24</f>
        <v>0</v>
      </c>
      <c r="AM24" s="29" t="n">
        <f aca="false">IF(C24=0,0,MIN(5,MAX(1,INT(N(Scope!$G24)))))</f>
        <v>0</v>
      </c>
      <c r="AN24" s="32" t="n">
        <f aca="false">IF(C24=0,0,IFERROR(INDEX(ConfPct,MATCH(Scope!$AH24,ConfNames,0)),MAX(ConfPct)))</f>
        <v>0</v>
      </c>
      <c r="AO24" s="22" t="n">
        <f aca="false">IF(SUM($AL$7:$AL$26)&gt;0,AL24/SUM($AL$7:$AL$26)*ProgSharedHrs,0)</f>
        <v>0</v>
      </c>
      <c r="AP24" s="22" t="n">
        <f aca="false">AK24+AO24</f>
        <v>0</v>
      </c>
      <c r="AQ24" s="22" t="n">
        <f aca="false">AP24*AN24</f>
        <v>0</v>
      </c>
      <c r="AR24" s="29" t="n">
        <f aca="false">IF(C24=0,0,IF(OR(ABS(N(Scope!$L24)+N(Scope!$M24)+N(Scope!$N24)+N(Scope!$O24)-1)&gt;0.001,AND(N(Scope!$X24)&gt;0,ABS(N(Scope!$T24)+N(Scope!$U24)+N(Scope!$V24)+N(Scope!$W24)-1)&gt;0.001)),1,0))</f>
        <v>0</v>
      </c>
      <c r="AS24" s="29" t="n">
        <f aca="false">IF(AND(C24=1,N(Scope!$P24)+N(Scope!$Q24)&gt;1),1,0)</f>
        <v>0</v>
      </c>
      <c r="AT24" s="29" t="n">
        <f aca="false">IF(AND(C24=1,OR(D24="Unmapped",E24="Unmapped")),1,0)</f>
        <v>0</v>
      </c>
      <c r="AU24" s="29" t="n">
        <f aca="false">IF(AND(C24=1,N(Scope!$AC24)&gt;0,ROUND(N(Scope!$AC24)-F24,4)&lt;&gt;0,Scope!$AD24=""),1,0)</f>
        <v>0</v>
      </c>
      <c r="AV24" s="29" t="n">
        <f aca="false">IF(AND(C24=1,OR(N(Scope!$I24)&lt;1,N(Scope!$X24)&lt;1)),1,0)</f>
        <v>0</v>
      </c>
    </row>
    <row r="25" customFormat="false" ht="15" hidden="false" customHeight="false" outlineLevel="0" collapsed="false">
      <c r="A25" s="9" t="n">
        <f aca="false">Scope!$A25</f>
        <v>19</v>
      </c>
      <c r="B25" s="9" t="str">
        <f aca="false">IF(Scope!$B25="","",Scope!$B25)</f>
        <v/>
      </c>
      <c r="C25" s="29" t="n">
        <f aca="false">IF(AND(Scope!$C25&lt;&gt;"",Scope!$D25&lt;&gt;"",N(Scope!$H25)&gt;0),1,0)</f>
        <v>0</v>
      </c>
      <c r="D25" s="9" t="str">
        <f aca="false">IF(C25=0,"",IFERROR(INDEX(ToolArch,MATCH(Scope!$C25,ToolNames,0)),"Unmapped"))</f>
        <v/>
      </c>
      <c r="E25" s="9" t="str">
        <f aca="false">IF(C25=0,"",IFERROR(INDEX(ToolArch,MATCH(Scope!$D25,ToolNames,0)),"Unmapped"))</f>
        <v/>
      </c>
      <c r="F25" s="50" t="n">
        <f aca="false">IF(C25=0,0,IFERROR(INDEX(KnownFactor,MATCH(Scope!$C25&amp;"|"&amp;Scope!$D25,KnownKey,0)),IFERROR(INDEX(ArchFactor,MATCH(D25,ArchNames,0),MATCH(E25,ArchNames,0)),1)))</f>
        <v>0</v>
      </c>
      <c r="G25" s="50" t="n">
        <f aca="false">IF(C25=0,0,IF(N(Scope!$AC25)&gt;0,MIN(FactorMax,MAX(FactorMin,Scope!$AC25)),F25))</f>
        <v>0</v>
      </c>
      <c r="H25" s="9" t="str">
        <f aca="false">IF(C25=0,"",IFERROR(INDEX(ApproachMatrix,MATCH(D25,ArchNames,0),MATCH(E25,ArchNames,0)),"Redesign"))</f>
        <v/>
      </c>
      <c r="I25" s="32" t="n">
        <f aca="false">IF(C25=0,0,IFERROR(INDEX(ApproachShares,MATCH(H25,ApproachNames,0)),1))</f>
        <v>0</v>
      </c>
      <c r="J25" s="29" t="n">
        <f aca="false">IF(AND(C25=1,Scope!$E25&lt;&gt;"",Scope!$F25&lt;&gt;"",Scope!$E25&lt;&gt;Scope!$F25),1,0)</f>
        <v>0</v>
      </c>
      <c r="K25" s="50" t="n">
        <f aca="false">1+J25*N(Scope!$K25)*DPRepUplift</f>
        <v>1</v>
      </c>
      <c r="L25" s="50" t="n">
        <f aca="false">1+J25*DPModelUplift</f>
        <v>1</v>
      </c>
      <c r="M25" s="50" t="n">
        <f aca="false">1+N(Scope!$J25)*(PaginatedFactor-1)</f>
        <v>1</v>
      </c>
      <c r="N25" s="23" t="n">
        <f aca="false">IF(Scope!$AE25="",AutoAssess,Scope!$AE25)*CapAssess</f>
        <v>0</v>
      </c>
      <c r="O25" s="23" t="n">
        <f aca="false">IF(Scope!$AF25="",AutoSem,Scope!$AF25)*CapSem</f>
        <v>0</v>
      </c>
      <c r="P25" s="23" t="n">
        <f aca="false">IF(Scope!$AG25="",AutoRep,Scope!$AG25)*CapRep</f>
        <v>0</v>
      </c>
      <c r="Q25" s="22" t="n">
        <f aca="false">C25*N(Scope!$H25)*N(Scope!$I25)</f>
        <v>0</v>
      </c>
      <c r="R25" s="51" t="n">
        <f aca="false">C25*N(Scope!$H25)*MAX(0,1-N(Scope!$P25)-N(Scope!$Q25))</f>
        <v>0</v>
      </c>
      <c r="S25" s="51" t="n">
        <f aca="false">R25*N(Scope!$R25)</f>
        <v>0</v>
      </c>
      <c r="T25" s="51" t="n">
        <f aca="false">R25-S25</f>
        <v>0</v>
      </c>
      <c r="U25" s="51" t="n">
        <f aca="false">T25*N(Scope!$I25)</f>
        <v>0</v>
      </c>
      <c r="V25" s="51" t="n">
        <f aca="false">S25*N(Scope!$I25)</f>
        <v>0</v>
      </c>
      <c r="W25" s="51" t="n">
        <f aca="false">C25*N(Scope!$H25)*N(Scope!$Q25)</f>
        <v>0</v>
      </c>
      <c r="X25" s="52" t="n">
        <f aca="false">N(Scope!$L25)*INDEX(HrsPage,1)+N(Scope!$M25)*INDEX(HrsPage,2)+N(Scope!$N25)*INDEX(HrsPage,3)+N(Scope!$O25)*INDEX(HrsPage,4)</f>
        <v>0</v>
      </c>
      <c r="Y25" s="22" t="n">
        <f aca="false">(U25*X25*K25*M25+V25*HrsDerived)*G25</f>
        <v>0</v>
      </c>
      <c r="Z25" s="22" t="n">
        <f aca="false">W25*MergeHrs*G25</f>
        <v>0</v>
      </c>
      <c r="AA25" s="22" t="n">
        <f aca="false">Y25*(1-LearnAvg)*(1-P25)+Z25</f>
        <v>0</v>
      </c>
      <c r="AB25" s="51" t="n">
        <f aca="false">C25*N(Scope!$X25)</f>
        <v>0</v>
      </c>
      <c r="AC25" s="51" t="n">
        <f aca="false">N(Scope!$T25)*INDEX(ModelHrs,1)+N(Scope!$U25)*INDEX(ModelHrs,2)+N(Scope!$V25)*INDEX(ModelHrs,3)+N(Scope!$W25)*INDEX(ModelHrs,4)</f>
        <v>0</v>
      </c>
      <c r="AD25" s="22" t="n">
        <f aca="false">AB25*AC25*I25*G25*L25</f>
        <v>0</v>
      </c>
      <c r="AE25" s="22" t="n">
        <f aca="false">C25*MAX(0,N(Scope!$S25)-N(Scope!$X25))*ConsolHrs*G25</f>
        <v>0</v>
      </c>
      <c r="AF25" s="22" t="n">
        <f aca="false">(AD25+AE25)*(1-O25)</f>
        <v>0</v>
      </c>
      <c r="AG25" s="22" t="n">
        <f aca="false">IF(C25=0,0,(IF(Q25&lt;=INDEX(AnchorPages,1),INDEX(AnchorAnalysis,1),IF(Q25&gt;=INDEX(AnchorPages,5),INDEX(AnchorAnalysis,5)+(Q25-INDEX(AnchorPages,5))*(INDEX(AnchorAnalysis,5)-INDEX(AnchorAnalysis,4))/(INDEX(AnchorPages,5)-INDEX(AnchorPages,4)),INDEX(AnchorAnalysis,MATCH(Q25,AnchorPages,1))+(Q25-INDEX(AnchorPages,MATCH(Q25,AnchorPages,1)))*(INDEX(AnchorAnalysis,MATCH(Q25,AnchorPages,1)+1)-INDEX(AnchorAnalysis,MATCH(Q25,AnchorPages,1)))/(INDEX(AnchorPages,MATCH(Q25,AnchorPages,1)+1)-INDEX(AnchorPages,MATCH(Q25,AnchorPages,1)))))*G25+N(Scope!$S25)*AssessPerModel)*(1-N25))</f>
        <v>0</v>
      </c>
      <c r="AH25" s="22" t="n">
        <f aca="false">IF(C25=0,0,AB25*IFERROR(INDEX(SecHrs,MATCH(Scope!$Y25,SecNames,0)),0)+N(Scope!$Z25)*SchedHrs+N(Scope!$AA25)*GroupHrs+HandoverHrs)</f>
        <v>0</v>
      </c>
      <c r="AI25" s="22" t="n">
        <f aca="false">AB25*IFERROR(INDEX(AIHrs,MATCH(Scope!$AB25,AINames,0)),0)</f>
        <v>0</v>
      </c>
      <c r="AJ25" s="22" t="n">
        <f aca="false">IF(AND(C25=1,MAX(N25,O25,P25,AutoSIT,AutoUAT,AutoDep)&gt;0),AutoSetupHrs,0)</f>
        <v>0</v>
      </c>
      <c r="AK25" s="22" t="n">
        <f aca="false">AA25+AF25+AG25+AH25+AI25+AJ25</f>
        <v>0</v>
      </c>
      <c r="AL25" s="22" t="n">
        <f aca="false">AA25+AF25</f>
        <v>0</v>
      </c>
      <c r="AM25" s="29" t="n">
        <f aca="false">IF(C25=0,0,MIN(5,MAX(1,INT(N(Scope!$G25)))))</f>
        <v>0</v>
      </c>
      <c r="AN25" s="32" t="n">
        <f aca="false">IF(C25=0,0,IFERROR(INDEX(ConfPct,MATCH(Scope!$AH25,ConfNames,0)),MAX(ConfPct)))</f>
        <v>0</v>
      </c>
      <c r="AO25" s="22" t="n">
        <f aca="false">IF(SUM($AL$7:$AL$26)&gt;0,AL25/SUM($AL$7:$AL$26)*ProgSharedHrs,0)</f>
        <v>0</v>
      </c>
      <c r="AP25" s="22" t="n">
        <f aca="false">AK25+AO25</f>
        <v>0</v>
      </c>
      <c r="AQ25" s="22" t="n">
        <f aca="false">AP25*AN25</f>
        <v>0</v>
      </c>
      <c r="AR25" s="29" t="n">
        <f aca="false">IF(C25=0,0,IF(OR(ABS(N(Scope!$L25)+N(Scope!$M25)+N(Scope!$N25)+N(Scope!$O25)-1)&gt;0.001,AND(N(Scope!$X25)&gt;0,ABS(N(Scope!$T25)+N(Scope!$U25)+N(Scope!$V25)+N(Scope!$W25)-1)&gt;0.001)),1,0))</f>
        <v>0</v>
      </c>
      <c r="AS25" s="29" t="n">
        <f aca="false">IF(AND(C25=1,N(Scope!$P25)+N(Scope!$Q25)&gt;1),1,0)</f>
        <v>0</v>
      </c>
      <c r="AT25" s="29" t="n">
        <f aca="false">IF(AND(C25=1,OR(D25="Unmapped",E25="Unmapped")),1,0)</f>
        <v>0</v>
      </c>
      <c r="AU25" s="29" t="n">
        <f aca="false">IF(AND(C25=1,N(Scope!$AC25)&gt;0,ROUND(N(Scope!$AC25)-F25,4)&lt;&gt;0,Scope!$AD25=""),1,0)</f>
        <v>0</v>
      </c>
      <c r="AV25" s="29" t="n">
        <f aca="false">IF(AND(C25=1,OR(N(Scope!$I25)&lt;1,N(Scope!$X25)&lt;1)),1,0)</f>
        <v>0</v>
      </c>
    </row>
    <row r="26" customFormat="false" ht="15" hidden="false" customHeight="false" outlineLevel="0" collapsed="false">
      <c r="A26" s="9" t="n">
        <f aca="false">Scope!$A26</f>
        <v>20</v>
      </c>
      <c r="B26" s="9" t="str">
        <f aca="false">IF(Scope!$B26="","",Scope!$B26)</f>
        <v/>
      </c>
      <c r="C26" s="29" t="n">
        <f aca="false">IF(AND(Scope!$C26&lt;&gt;"",Scope!$D26&lt;&gt;"",N(Scope!$H26)&gt;0),1,0)</f>
        <v>0</v>
      </c>
      <c r="D26" s="9" t="str">
        <f aca="false">IF(C26=0,"",IFERROR(INDEX(ToolArch,MATCH(Scope!$C26,ToolNames,0)),"Unmapped"))</f>
        <v/>
      </c>
      <c r="E26" s="9" t="str">
        <f aca="false">IF(C26=0,"",IFERROR(INDEX(ToolArch,MATCH(Scope!$D26,ToolNames,0)),"Unmapped"))</f>
        <v/>
      </c>
      <c r="F26" s="50" t="n">
        <f aca="false">IF(C26=0,0,IFERROR(INDEX(KnownFactor,MATCH(Scope!$C26&amp;"|"&amp;Scope!$D26,KnownKey,0)),IFERROR(INDEX(ArchFactor,MATCH(D26,ArchNames,0),MATCH(E26,ArchNames,0)),1)))</f>
        <v>0</v>
      </c>
      <c r="G26" s="50" t="n">
        <f aca="false">IF(C26=0,0,IF(N(Scope!$AC26)&gt;0,MIN(FactorMax,MAX(FactorMin,Scope!$AC26)),F26))</f>
        <v>0</v>
      </c>
      <c r="H26" s="9" t="str">
        <f aca="false">IF(C26=0,"",IFERROR(INDEX(ApproachMatrix,MATCH(D26,ArchNames,0),MATCH(E26,ArchNames,0)),"Redesign"))</f>
        <v/>
      </c>
      <c r="I26" s="32" t="n">
        <f aca="false">IF(C26=0,0,IFERROR(INDEX(ApproachShares,MATCH(H26,ApproachNames,0)),1))</f>
        <v>0</v>
      </c>
      <c r="J26" s="29" t="n">
        <f aca="false">IF(AND(C26=1,Scope!$E26&lt;&gt;"",Scope!$F26&lt;&gt;"",Scope!$E26&lt;&gt;Scope!$F26),1,0)</f>
        <v>0</v>
      </c>
      <c r="K26" s="50" t="n">
        <f aca="false">1+J26*N(Scope!$K26)*DPRepUplift</f>
        <v>1</v>
      </c>
      <c r="L26" s="50" t="n">
        <f aca="false">1+J26*DPModelUplift</f>
        <v>1</v>
      </c>
      <c r="M26" s="50" t="n">
        <f aca="false">1+N(Scope!$J26)*(PaginatedFactor-1)</f>
        <v>1</v>
      </c>
      <c r="N26" s="23" t="n">
        <f aca="false">IF(Scope!$AE26="",AutoAssess,Scope!$AE26)*CapAssess</f>
        <v>0</v>
      </c>
      <c r="O26" s="23" t="n">
        <f aca="false">IF(Scope!$AF26="",AutoSem,Scope!$AF26)*CapSem</f>
        <v>0</v>
      </c>
      <c r="P26" s="23" t="n">
        <f aca="false">IF(Scope!$AG26="",AutoRep,Scope!$AG26)*CapRep</f>
        <v>0</v>
      </c>
      <c r="Q26" s="22" t="n">
        <f aca="false">C26*N(Scope!$H26)*N(Scope!$I26)</f>
        <v>0</v>
      </c>
      <c r="R26" s="51" t="n">
        <f aca="false">C26*N(Scope!$H26)*MAX(0,1-N(Scope!$P26)-N(Scope!$Q26))</f>
        <v>0</v>
      </c>
      <c r="S26" s="51" t="n">
        <f aca="false">R26*N(Scope!$R26)</f>
        <v>0</v>
      </c>
      <c r="T26" s="51" t="n">
        <f aca="false">R26-S26</f>
        <v>0</v>
      </c>
      <c r="U26" s="51" t="n">
        <f aca="false">T26*N(Scope!$I26)</f>
        <v>0</v>
      </c>
      <c r="V26" s="51" t="n">
        <f aca="false">S26*N(Scope!$I26)</f>
        <v>0</v>
      </c>
      <c r="W26" s="51" t="n">
        <f aca="false">C26*N(Scope!$H26)*N(Scope!$Q26)</f>
        <v>0</v>
      </c>
      <c r="X26" s="52" t="n">
        <f aca="false">N(Scope!$L26)*INDEX(HrsPage,1)+N(Scope!$M26)*INDEX(HrsPage,2)+N(Scope!$N26)*INDEX(HrsPage,3)+N(Scope!$O26)*INDEX(HrsPage,4)</f>
        <v>0</v>
      </c>
      <c r="Y26" s="22" t="n">
        <f aca="false">(U26*X26*K26*M26+V26*HrsDerived)*G26</f>
        <v>0</v>
      </c>
      <c r="Z26" s="22" t="n">
        <f aca="false">W26*MergeHrs*G26</f>
        <v>0</v>
      </c>
      <c r="AA26" s="22" t="n">
        <f aca="false">Y26*(1-LearnAvg)*(1-P26)+Z26</f>
        <v>0</v>
      </c>
      <c r="AB26" s="51" t="n">
        <f aca="false">C26*N(Scope!$X26)</f>
        <v>0</v>
      </c>
      <c r="AC26" s="51" t="n">
        <f aca="false">N(Scope!$T26)*INDEX(ModelHrs,1)+N(Scope!$U26)*INDEX(ModelHrs,2)+N(Scope!$V26)*INDEX(ModelHrs,3)+N(Scope!$W26)*INDEX(ModelHrs,4)</f>
        <v>0</v>
      </c>
      <c r="AD26" s="22" t="n">
        <f aca="false">AB26*AC26*I26*G26*L26</f>
        <v>0</v>
      </c>
      <c r="AE26" s="22" t="n">
        <f aca="false">C26*MAX(0,N(Scope!$S26)-N(Scope!$X26))*ConsolHrs*G26</f>
        <v>0</v>
      </c>
      <c r="AF26" s="22" t="n">
        <f aca="false">(AD26+AE26)*(1-O26)</f>
        <v>0</v>
      </c>
      <c r="AG26" s="22" t="n">
        <f aca="false">IF(C26=0,0,(IF(Q26&lt;=INDEX(AnchorPages,1),INDEX(AnchorAnalysis,1),IF(Q26&gt;=INDEX(AnchorPages,5),INDEX(AnchorAnalysis,5)+(Q26-INDEX(AnchorPages,5))*(INDEX(AnchorAnalysis,5)-INDEX(AnchorAnalysis,4))/(INDEX(AnchorPages,5)-INDEX(AnchorPages,4)),INDEX(AnchorAnalysis,MATCH(Q26,AnchorPages,1))+(Q26-INDEX(AnchorPages,MATCH(Q26,AnchorPages,1)))*(INDEX(AnchorAnalysis,MATCH(Q26,AnchorPages,1)+1)-INDEX(AnchorAnalysis,MATCH(Q26,AnchorPages,1)))/(INDEX(AnchorPages,MATCH(Q26,AnchorPages,1)+1)-INDEX(AnchorPages,MATCH(Q26,AnchorPages,1)))))*G26+N(Scope!$S26)*AssessPerModel)*(1-N26))</f>
        <v>0</v>
      </c>
      <c r="AH26" s="22" t="n">
        <f aca="false">IF(C26=0,0,AB26*IFERROR(INDEX(SecHrs,MATCH(Scope!$Y26,SecNames,0)),0)+N(Scope!$Z26)*SchedHrs+N(Scope!$AA26)*GroupHrs+HandoverHrs)</f>
        <v>0</v>
      </c>
      <c r="AI26" s="22" t="n">
        <f aca="false">AB26*IFERROR(INDEX(AIHrs,MATCH(Scope!$AB26,AINames,0)),0)</f>
        <v>0</v>
      </c>
      <c r="AJ26" s="22" t="n">
        <f aca="false">IF(AND(C26=1,MAX(N26,O26,P26,AutoSIT,AutoUAT,AutoDep)&gt;0),AutoSetupHrs,0)</f>
        <v>0</v>
      </c>
      <c r="AK26" s="22" t="n">
        <f aca="false">AA26+AF26+AG26+AH26+AI26+AJ26</f>
        <v>0</v>
      </c>
      <c r="AL26" s="22" t="n">
        <f aca="false">AA26+AF26</f>
        <v>0</v>
      </c>
      <c r="AM26" s="29" t="n">
        <f aca="false">IF(C26=0,0,MIN(5,MAX(1,INT(N(Scope!$G26)))))</f>
        <v>0</v>
      </c>
      <c r="AN26" s="32" t="n">
        <f aca="false">IF(C26=0,0,IFERROR(INDEX(ConfPct,MATCH(Scope!$AH26,ConfNames,0)),MAX(ConfPct)))</f>
        <v>0</v>
      </c>
      <c r="AO26" s="22" t="n">
        <f aca="false">IF(SUM($AL$7:$AL$26)&gt;0,AL26/SUM($AL$7:$AL$26)*ProgSharedHrs,0)</f>
        <v>0</v>
      </c>
      <c r="AP26" s="22" t="n">
        <f aca="false">AK26+AO26</f>
        <v>0</v>
      </c>
      <c r="AQ26" s="22" t="n">
        <f aca="false">AP26*AN26</f>
        <v>0</v>
      </c>
      <c r="AR26" s="29" t="n">
        <f aca="false">IF(C26=0,0,IF(OR(ABS(N(Scope!$L26)+N(Scope!$M26)+N(Scope!$N26)+N(Scope!$O26)-1)&gt;0.001,AND(N(Scope!$X26)&gt;0,ABS(N(Scope!$T26)+N(Scope!$U26)+N(Scope!$V26)+N(Scope!$W26)-1)&gt;0.001)),1,0))</f>
        <v>0</v>
      </c>
      <c r="AS26" s="29" t="n">
        <f aca="false">IF(AND(C26=1,N(Scope!$P26)+N(Scope!$Q26)&gt;1),1,0)</f>
        <v>0</v>
      </c>
      <c r="AT26" s="29" t="n">
        <f aca="false">IF(AND(C26=1,OR(D26="Unmapped",E26="Unmapped")),1,0)</f>
        <v>0</v>
      </c>
      <c r="AU26" s="29" t="n">
        <f aca="false">IF(AND(C26=1,N(Scope!$AC26)&gt;0,ROUND(N(Scope!$AC26)-F26,4)&lt;&gt;0,Scope!$AD26=""),1,0)</f>
        <v>0</v>
      </c>
      <c r="AV26" s="29" t="n">
        <f aca="false">IF(AND(C26=1,OR(N(Scope!$I26)&lt;1,N(Scope!$X26)&lt;1)),1,0)</f>
        <v>0</v>
      </c>
    </row>
    <row r="27" customFormat="false" ht="15" hidden="false" customHeight="false" outlineLevel="0" collapsed="false">
      <c r="A27" s="2"/>
      <c r="B27" s="26" t="s">
        <v>91</v>
      </c>
      <c r="C27" s="27" t="n">
        <f aca="false">SUM(C7:C26)</f>
        <v>2</v>
      </c>
      <c r="D27" s="2"/>
      <c r="E27" s="2"/>
      <c r="F27" s="2"/>
      <c r="G27" s="2"/>
      <c r="H27" s="2"/>
      <c r="I27" s="2"/>
      <c r="J27" s="2"/>
      <c r="K27" s="2"/>
      <c r="L27" s="2"/>
      <c r="M27" s="2"/>
      <c r="N27" s="2"/>
      <c r="O27" s="2"/>
      <c r="P27" s="2"/>
      <c r="Q27" s="27" t="n">
        <f aca="false">SUM(Q7:Q26)</f>
        <v>1700</v>
      </c>
      <c r="R27" s="27" t="n">
        <f aca="false">SUM(R7:R26)</f>
        <v>455</v>
      </c>
      <c r="S27" s="27" t="n">
        <f aca="false">SUM(S7:S26)</f>
        <v>45.5</v>
      </c>
      <c r="T27" s="2"/>
      <c r="U27" s="27" t="n">
        <f aca="false">SUM(U7:U26)</f>
        <v>1071</v>
      </c>
      <c r="V27" s="27" t="n">
        <f aca="false">SUM(V7:V26)</f>
        <v>119</v>
      </c>
      <c r="W27" s="27" t="n">
        <f aca="false">SUM(W7:W26)</f>
        <v>52.5</v>
      </c>
      <c r="X27" s="2"/>
      <c r="Y27" s="2"/>
      <c r="Z27" s="2"/>
      <c r="AA27" s="27" t="n">
        <f aca="false">SUM(AA7:AA26)</f>
        <v>6206.6628978125</v>
      </c>
      <c r="AB27" s="27" t="n">
        <f aca="false">SUM(AB7:AB26)</f>
        <v>18</v>
      </c>
      <c r="AC27" s="2"/>
      <c r="AD27" s="2"/>
      <c r="AE27" s="2"/>
      <c r="AF27" s="27" t="n">
        <f aca="false">SUM(AF7:AF26)</f>
        <v>2377.94</v>
      </c>
      <c r="AG27" s="27" t="n">
        <f aca="false">SUM(AG7:AG26)</f>
        <v>606</v>
      </c>
      <c r="AH27" s="27" t="n">
        <f aca="false">SUM(AH7:AH26)</f>
        <v>351</v>
      </c>
      <c r="AI27" s="27" t="n">
        <f aca="false">SUM(AI7:AI26)</f>
        <v>128</v>
      </c>
      <c r="AJ27" s="27" t="n">
        <f aca="false">SUM(AJ7:AJ26)</f>
        <v>0</v>
      </c>
      <c r="AK27" s="27" t="n">
        <f aca="false">SUM(AK7:AK26)</f>
        <v>9669.6028978125</v>
      </c>
      <c r="AL27" s="27" t="n">
        <f aca="false">SUM(AL7:AL26)</f>
        <v>8584.6028978125</v>
      </c>
      <c r="AM27" s="2"/>
      <c r="AN27" s="2"/>
      <c r="AO27" s="27" t="n">
        <f aca="false">SUM(AO7:AO26)</f>
        <v>4655</v>
      </c>
      <c r="AP27" s="27" t="n">
        <f aca="false">SUM(AP7:AP26)</f>
        <v>14324.6028978125</v>
      </c>
      <c r="AQ27" s="27" t="n">
        <f aca="false">SUM(AQ7:AQ26)</f>
        <v>2596.16016529164</v>
      </c>
      <c r="AR27" s="27" t="n">
        <f aca="false">SUM(AR7:AR26)</f>
        <v>0</v>
      </c>
      <c r="AS27" s="27" t="n">
        <f aca="false">SUM(AS7:AS26)</f>
        <v>0</v>
      </c>
      <c r="AT27" s="27" t="n">
        <f aca="false">SUM(AT7:AT26)</f>
        <v>0</v>
      </c>
      <c r="AU27" s="27" t="n">
        <f aca="false">SUM(AU7:AU26)</f>
        <v>0</v>
      </c>
      <c r="AV27" s="27" t="n">
        <f aca="false">SUM(AV7:AV26)</f>
        <v>0</v>
      </c>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row>
    <row r="30" customFormat="false" ht="15" hidden="false" customHeight="false" outlineLevel="0" collapsed="false">
      <c r="A30" s="19" t="s">
        <v>503</v>
      </c>
      <c r="B30" s="20"/>
      <c r="C30" s="20"/>
      <c r="D30" s="20"/>
      <c r="E30" s="20"/>
      <c r="F30" s="20"/>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row>
    <row r="31" customFormat="false" ht="30" hidden="false" customHeight="true" outlineLevel="0" collapsed="false">
      <c r="A31" s="2"/>
      <c r="B31" s="21" t="s">
        <v>504</v>
      </c>
      <c r="C31" s="21" t="s">
        <v>75</v>
      </c>
      <c r="D31" s="21" t="s">
        <v>505</v>
      </c>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row>
    <row r="32" customFormat="false" ht="15" hidden="false" customHeight="false" outlineLevel="0" collapsed="false">
      <c r="A32" s="2"/>
      <c r="B32" s="9" t="s">
        <v>506</v>
      </c>
      <c r="C32" s="22" t="n">
        <f aca="false">IF(InvPages&lt;=INDEX(AnchorPages,1),INDEX(AnchorInit,1),IF(InvPages&gt;=INDEX(AnchorPages,5),INDEX(AnchorInit,5)+(InvPages-INDEX(AnchorPages,5))*(INDEX(AnchorInit,5)-INDEX(AnchorInit,4))/(INDEX(AnchorPages,5)-INDEX(AnchorPages,4)),INDEX(AnchorInit,MATCH(InvPages,AnchorPages,1))+(InvPages-INDEX(AnchorPages,MATCH(InvPages,AnchorPages,1)))*(INDEX(AnchorInit,MATCH(InvPages,AnchorPages,1)+1)-INDEX(AnchorInit,MATCH(InvPages,AnchorPages,1)))/(INDEX(AnchorPages,MATCH(InvPages,AnchorPages,1)+1)-INDEX(AnchorPages,MATCH(InvPages,AnchorPages,1)))))*(1-AutoAssess*CapAssess)</f>
        <v>87</v>
      </c>
      <c r="D32" s="9" t="s">
        <v>507</v>
      </c>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row>
    <row r="33" customFormat="false" ht="15" hidden="false" customHeight="false" outlineLevel="0" collapsed="false">
      <c r="A33" s="2"/>
      <c r="B33" s="9" t="s">
        <v>508</v>
      </c>
      <c r="C33" s="29" t="n">
        <f aca="false">SUMPRODUCT((Scope!$D$7:$D$26&lt;&gt;"")/COUNTIF(Scope!$D$7:$D$26,Scope!$D$7:$D$26&amp;""))</f>
        <v>1</v>
      </c>
      <c r="D33" s="9" t="s">
        <v>509</v>
      </c>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row>
    <row r="34" customFormat="false" ht="15" hidden="false" customHeight="false" outlineLevel="0" collapsed="false">
      <c r="A34" s="2"/>
      <c r="B34" s="9" t="s">
        <v>83</v>
      </c>
      <c r="C34" s="22" t="n">
        <f aca="false">TargetTools*ArchPerTool+ActivePairs*ArchPerPair</f>
        <v>128</v>
      </c>
      <c r="D34" s="9" t="s">
        <v>510</v>
      </c>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row>
    <row r="35" customFormat="false" ht="15" hidden="false" customHeight="false" outlineLevel="0" collapsed="false">
      <c r="A35" s="2"/>
      <c r="B35" s="9" t="s">
        <v>86</v>
      </c>
      <c r="C35" s="22" t="n">
        <f aca="false">((IterCount*SITWk+SITFinal)*SITEng*HrsWk+IterCount*SITFixed)*(1-AutoSIT*CapSIT)</f>
        <v>1840</v>
      </c>
      <c r="D35" s="9" t="s">
        <v>511</v>
      </c>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row>
    <row r="36" customFormat="false" ht="15" hidden="false" customHeight="false" outlineLevel="0" collapsed="false">
      <c r="A36" s="2"/>
      <c r="B36" s="9" t="s">
        <v>87</v>
      </c>
      <c r="C36" s="22" t="n">
        <f aca="false">(IterCount*UATWk+UATFinal)*UATEng*HrsWk*(1-AutoUAT*CapUAT)</f>
        <v>440</v>
      </c>
      <c r="D36" s="9" t="s">
        <v>512</v>
      </c>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row>
    <row r="37" customFormat="false" ht="15" hidden="false" customHeight="false" outlineLevel="0" collapsed="false">
      <c r="A37" s="2"/>
      <c r="B37" s="9" t="s">
        <v>88</v>
      </c>
      <c r="C37" s="22" t="n">
        <f aca="false">(IterCount*DepWk*DepEng*HrsWk+IF(Pipeline="No",ReportsBuilt*ManualDepHrs,0))*(1-AutoDep*CapDep)</f>
        <v>400</v>
      </c>
      <c r="D37" s="9" t="s">
        <v>513</v>
      </c>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row>
    <row r="38" customFormat="false" ht="15" hidden="false" customHeight="false" outlineLevel="0" collapsed="false">
      <c r="A38" s="2"/>
      <c r="B38" s="9" t="s">
        <v>89</v>
      </c>
      <c r="C38" s="22" t="n">
        <f aca="false">Releases*HCWk*HCCrew*HrsWk</f>
        <v>320</v>
      </c>
      <c r="D38" s="9" t="s">
        <v>514</v>
      </c>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row>
    <row r="39" customFormat="false" ht="15" hidden="false" customHeight="false" outlineLevel="0" collapsed="false">
      <c r="A39" s="2"/>
      <c r="B39" s="9" t="s">
        <v>93</v>
      </c>
      <c r="C39" s="22" t="n">
        <f aca="false">IF(EngType="Pure BI",PMFTE*DurationWeeks*HrsWk,0)</f>
        <v>1440</v>
      </c>
      <c r="D39" s="9" t="s">
        <v>515</v>
      </c>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row>
    <row r="40" customFormat="false" ht="15" hidden="false" customHeight="false" outlineLevel="0" collapsed="false">
      <c r="A40" s="2"/>
      <c r="B40" s="26" t="s">
        <v>516</v>
      </c>
      <c r="C40" s="27" t="n">
        <f aca="false">ProgInitHrs+ProgArchHrs+ProgSITHrs+ProgUATHrs+ProgDepHrs+ProgHCHrs+ProgPMHrs</f>
        <v>4655</v>
      </c>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row>
    <row r="43" customFormat="false" ht="15" hidden="false" customHeight="false" outlineLevel="0" collapsed="false">
      <c r="A43" s="19" t="s">
        <v>517</v>
      </c>
      <c r="B43" s="20"/>
      <c r="C43" s="20"/>
      <c r="D43" s="20"/>
      <c r="E43" s="20"/>
      <c r="F43" s="20"/>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row>
    <row r="44" customFormat="false" ht="30" hidden="false" customHeight="true" outlineLevel="0" collapsed="false">
      <c r="A44" s="21" t="s">
        <v>188</v>
      </c>
      <c r="B44" s="21" t="s">
        <v>74</v>
      </c>
      <c r="C44" s="21" t="s">
        <v>75</v>
      </c>
      <c r="D44" s="21" t="s">
        <v>518</v>
      </c>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row>
    <row r="45" customFormat="false" ht="15" hidden="false" customHeight="false" outlineLevel="0" collapsed="false">
      <c r="A45" s="9" t="n">
        <v>1</v>
      </c>
      <c r="B45" s="9" t="s">
        <v>82</v>
      </c>
      <c r="C45" s="22" t="n">
        <f aca="false">ProgInitHrs+AnaHrs+AutoSetTotal</f>
        <v>693</v>
      </c>
      <c r="D45" s="23" t="n">
        <f aca="false">IF(TotalBaseHrs&gt;0,C45/TotalBaseHrs,0)</f>
        <v>0.0483783044419212</v>
      </c>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row>
    <row r="46" customFormat="false" ht="15" hidden="false" customHeight="false" outlineLevel="0" collapsed="false">
      <c r="A46" s="9" t="n">
        <v>2</v>
      </c>
      <c r="B46" s="9" t="s">
        <v>83</v>
      </c>
      <c r="C46" s="22" t="n">
        <f aca="false">ProgArchHrs</f>
        <v>128</v>
      </c>
      <c r="D46" s="23" t="n">
        <f aca="false">IF(TotalBaseHrs&gt;0,C46/TotalBaseHrs,0)</f>
        <v>0.0089356752793159</v>
      </c>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row>
    <row r="47" customFormat="false" ht="15" hidden="false" customHeight="false" outlineLevel="0" collapsed="false">
      <c r="A47" s="9" t="n">
        <v>3</v>
      </c>
      <c r="B47" s="9" t="s">
        <v>84</v>
      </c>
      <c r="C47" s="22" t="n">
        <f aca="false">SemHrs</f>
        <v>2377.94</v>
      </c>
      <c r="D47" s="23" t="n">
        <f aca="false">IF(TotalBaseHrs&gt;0,C47/TotalBaseHrs,0)</f>
        <v>0.166003903700753</v>
      </c>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row>
    <row r="48" customFormat="false" ht="15" hidden="false" customHeight="false" outlineLevel="0" collapsed="false">
      <c r="A48" s="9" t="n">
        <v>4</v>
      </c>
      <c r="B48" s="9" t="s">
        <v>85</v>
      </c>
      <c r="C48" s="22" t="n">
        <f aca="false">RepHrs</f>
        <v>6206.6628978125</v>
      </c>
      <c r="D48" s="23" t="n">
        <f aca="false">IF(TotalBaseHrs&gt;0,C48/TotalBaseHrs,0)</f>
        <v>0.433286907992424</v>
      </c>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row>
    <row r="49" customFormat="false" ht="15" hidden="false" customHeight="false" outlineLevel="0" collapsed="false">
      <c r="A49" s="9" t="n">
        <v>5</v>
      </c>
      <c r="B49" s="9" t="s">
        <v>86</v>
      </c>
      <c r="C49" s="22" t="n">
        <f aca="false">ProgSITHrs</f>
        <v>1840</v>
      </c>
      <c r="D49" s="23" t="n">
        <f aca="false">IF(TotalBaseHrs&gt;0,C49/TotalBaseHrs,0)</f>
        <v>0.128450332140166</v>
      </c>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row>
    <row r="50" customFormat="false" ht="15" hidden="false" customHeight="false" outlineLevel="0" collapsed="false">
      <c r="A50" s="9" t="n">
        <v>6</v>
      </c>
      <c r="B50" s="9" t="s">
        <v>87</v>
      </c>
      <c r="C50" s="22" t="n">
        <f aca="false">ProgUATHrs</f>
        <v>440</v>
      </c>
      <c r="D50" s="23" t="n">
        <f aca="false">IF(TotalBaseHrs&gt;0,C50/TotalBaseHrs,0)</f>
        <v>0.0307163837726484</v>
      </c>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row>
    <row r="51" customFormat="false" ht="15" hidden="false" customHeight="false" outlineLevel="0" collapsed="false">
      <c r="A51" s="9" t="n">
        <v>7</v>
      </c>
      <c r="B51" s="9" t="s">
        <v>88</v>
      </c>
      <c r="C51" s="22" t="n">
        <f aca="false">ProgDepHrs</f>
        <v>400</v>
      </c>
      <c r="D51" s="23" t="n">
        <f aca="false">IF(TotalBaseHrs&gt;0,C51/TotalBaseHrs,0)</f>
        <v>0.0279239852478622</v>
      </c>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row>
    <row r="52" customFormat="false" ht="15" hidden="false" customHeight="false" outlineLevel="0" collapsed="false">
      <c r="A52" s="9" t="n">
        <v>8</v>
      </c>
      <c r="B52" s="9" t="s">
        <v>89</v>
      </c>
      <c r="C52" s="22" t="n">
        <f aca="false">ProgHCHrs</f>
        <v>320</v>
      </c>
      <c r="D52" s="23" t="n">
        <f aca="false">IF(TotalBaseHrs&gt;0,C52/TotalBaseHrs,0)</f>
        <v>0.0223391881982897</v>
      </c>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row>
    <row r="53" customFormat="false" ht="15" hidden="false" customHeight="false" outlineLevel="0" collapsed="false">
      <c r="A53" s="9" t="n">
        <v>9</v>
      </c>
      <c r="B53" s="9" t="s">
        <v>90</v>
      </c>
      <c r="C53" s="22" t="n">
        <f aca="false">SecOpsHrs</f>
        <v>351</v>
      </c>
      <c r="D53" s="23" t="n">
        <f aca="false">IF(TotalBaseHrs&gt;0,C53/TotalBaseHrs,0)</f>
        <v>0.0245032970549991</v>
      </c>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row>
    <row r="54" customFormat="false" ht="15" hidden="false" customHeight="false" outlineLevel="0" collapsed="false">
      <c r="A54" s="9" t="n">
        <v>10</v>
      </c>
      <c r="B54" s="9" t="s">
        <v>92</v>
      </c>
      <c r="C54" s="22" t="n">
        <f aca="false">AIHrsTotal</f>
        <v>128</v>
      </c>
      <c r="D54" s="23" t="n">
        <f aca="false">IF(TotalBaseHrs&gt;0,C54/TotalBaseHrs,0)</f>
        <v>0.0089356752793159</v>
      </c>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row>
    <row r="55" customFormat="false" ht="15" hidden="false" customHeight="false" outlineLevel="0" collapsed="false">
      <c r="A55" s="9" t="n">
        <v>11</v>
      </c>
      <c r="B55" s="9" t="s">
        <v>93</v>
      </c>
      <c r="C55" s="22" t="n">
        <f aca="false">ProgPMHrs</f>
        <v>1440</v>
      </c>
      <c r="D55" s="23" t="n">
        <f aca="false">IF(TotalBaseHrs&gt;0,C55/TotalBaseHrs,0)</f>
        <v>0.100526346892304</v>
      </c>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row>
    <row r="56" customFormat="false" ht="15" hidden="false" customHeight="false" outlineLevel="0" collapsed="false">
      <c r="A56" s="2"/>
      <c r="B56" s="26" t="s">
        <v>519</v>
      </c>
      <c r="C56" s="27" t="n">
        <f aca="false">SUM(PhaseHours)</f>
        <v>14324.6028978125</v>
      </c>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row>
    <row r="57" customFormat="false" ht="15" hidden="false" customHeight="false" outlineLevel="0" collapsed="false">
      <c r="A57" s="2"/>
      <c r="B57" s="26" t="s">
        <v>520</v>
      </c>
      <c r="C57" s="53" t="n">
        <f aca="false">IF(SUM(EffTotal)&gt;0,SUMPRODUCT(EffTotal,EffCont)/SUM(EffTotal),0)</f>
        <v>0.181237845391728</v>
      </c>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row>
    <row r="58" customFormat="false" ht="15" hidden="false" customHeight="false" outlineLevel="0" collapsed="false">
      <c r="A58" s="2"/>
      <c r="B58" s="26" t="s">
        <v>521</v>
      </c>
      <c r="C58" s="27" t="n">
        <f aca="false">TotalBaseHrs*ContPct</f>
        <v>2596.16016529164</v>
      </c>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row>
    <row r="59" customFormat="false" ht="15" hidden="false" customHeight="false" outlineLevel="0" collapsed="false">
      <c r="A59" s="2"/>
      <c r="B59" s="26" t="s">
        <v>522</v>
      </c>
      <c r="C59" s="27" t="n">
        <f aca="false">RiskExpectedHrs</f>
        <v>90</v>
      </c>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row>
    <row r="60" customFormat="false" ht="15" hidden="false" customHeight="false" outlineLevel="0" collapsed="false">
      <c r="A60" s="2"/>
      <c r="B60" s="26" t="s">
        <v>523</v>
      </c>
      <c r="C60" s="27" t="n">
        <f aca="false">TotalBaseHrs+ContHrs+RiskHrs</f>
        <v>17010.7630631041</v>
      </c>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6"/>
    <col collapsed="false" customWidth="true" hidden="false" outlineLevel="0" max="6" min="3" style="0" width="16"/>
    <col collapsed="false" customWidth="true" hidden="false" outlineLevel="0" max="7" min="7" style="0" width="18"/>
    <col collapsed="false" customWidth="true" hidden="false" outlineLevel="0" max="8" min="8" style="0" width="20"/>
  </cols>
  <sheetData>
    <row r="1" customFormat="false" ht="19.7" hidden="false" customHeight="false" outlineLevel="0" collapsed="false">
      <c r="A1" s="1" t="s">
        <v>43</v>
      </c>
      <c r="B1" s="2"/>
      <c r="C1" s="2"/>
      <c r="D1" s="2"/>
      <c r="E1" s="2"/>
      <c r="F1" s="2"/>
      <c r="G1" s="2"/>
    </row>
    <row r="2" customFormat="false" ht="15" hidden="false" customHeight="false" outlineLevel="0" collapsed="false">
      <c r="A2" s="3" t="s">
        <v>524</v>
      </c>
      <c r="B2" s="2"/>
      <c r="C2" s="2"/>
      <c r="D2" s="2"/>
      <c r="E2" s="2"/>
      <c r="F2" s="2"/>
      <c r="G2" s="2"/>
    </row>
    <row r="3" customFormat="false" ht="15" hidden="false" customHeight="false" outlineLevel="0" collapsed="false">
      <c r="A3" s="2"/>
      <c r="B3" s="2"/>
      <c r="C3" s="2"/>
      <c r="D3" s="2"/>
      <c r="E3" s="2"/>
      <c r="F3" s="2"/>
      <c r="G3" s="2"/>
    </row>
    <row r="4" customFormat="false" ht="15" hidden="false" customHeight="false" outlineLevel="0" collapsed="false">
      <c r="A4" s="2"/>
      <c r="B4" s="19" t="s">
        <v>68</v>
      </c>
      <c r="C4" s="20"/>
      <c r="D4" s="20"/>
      <c r="E4" s="2"/>
      <c r="F4" s="2"/>
      <c r="G4" s="2"/>
    </row>
    <row r="5" customFormat="false" ht="15" hidden="false" customHeight="false" outlineLevel="0" collapsed="false">
      <c r="A5" s="2"/>
      <c r="B5" s="9" t="s">
        <v>525</v>
      </c>
      <c r="C5" s="29" t="n">
        <f aca="false">MAX(1,ROUNDUP(INDEX(PhaseHours,1)/(AssessTeam*HrsWk),0))</f>
        <v>6</v>
      </c>
      <c r="D5" s="2"/>
      <c r="E5" s="2"/>
      <c r="F5" s="2"/>
      <c r="G5" s="2"/>
    </row>
    <row r="6" customFormat="false" ht="15" hidden="false" customHeight="false" outlineLevel="0" collapsed="false">
      <c r="A6" s="2"/>
      <c r="B6" s="9" t="s">
        <v>526</v>
      </c>
      <c r="C6" s="29" t="n">
        <f aca="false">AssessLen</f>
        <v>6</v>
      </c>
      <c r="D6" s="2"/>
      <c r="E6" s="2"/>
      <c r="F6" s="2"/>
      <c r="G6" s="2"/>
    </row>
    <row r="7" customFormat="false" ht="15" hidden="false" customHeight="false" outlineLevel="0" collapsed="false">
      <c r="A7" s="2"/>
      <c r="B7" s="9" t="s">
        <v>527</v>
      </c>
      <c r="C7" s="29" t="n">
        <f aca="false">1+ROUND(AssessLen*(1-ArchOverlap),0)</f>
        <v>4</v>
      </c>
      <c r="D7" s="2"/>
      <c r="E7" s="2"/>
      <c r="F7" s="2"/>
      <c r="G7" s="2"/>
    </row>
    <row r="8" customFormat="false" ht="15" hidden="false" customHeight="false" outlineLevel="0" collapsed="false">
      <c r="A8" s="2"/>
      <c r="B8" s="9" t="s">
        <v>528</v>
      </c>
      <c r="C8" s="29" t="n">
        <f aca="false">ArchStart+MAX(1,ROUNDUP(INDEX(PhaseHours,2)/(ArchTeam*HrsWk),0))-1</f>
        <v>5</v>
      </c>
      <c r="D8" s="2"/>
      <c r="E8" s="2"/>
      <c r="F8" s="2"/>
      <c r="G8" s="2"/>
    </row>
    <row r="9" customFormat="false" ht="15" hidden="false" customHeight="false" outlineLevel="0" collapsed="false">
      <c r="A9" s="2"/>
      <c r="B9" s="9" t="s">
        <v>529</v>
      </c>
      <c r="C9" s="29" t="n">
        <f aca="false">MAX(AssessEnd,ArchEnd)+1</f>
        <v>7</v>
      </c>
      <c r="D9" s="2"/>
      <c r="E9" s="2"/>
      <c r="F9" s="2"/>
      <c r="G9" s="2"/>
    </row>
    <row r="10" customFormat="false" ht="15" hidden="false" customHeight="false" outlineLevel="0" collapsed="false">
      <c r="A10" s="2"/>
      <c r="B10" s="9" t="s">
        <v>530</v>
      </c>
      <c r="C10" s="29" t="n">
        <f aca="false">DevStart+ModelLead</f>
        <v>9</v>
      </c>
      <c r="D10" s="2"/>
      <c r="E10" s="2"/>
      <c r="F10" s="2"/>
      <c r="G10" s="2"/>
    </row>
    <row r="11" customFormat="false" ht="15" hidden="false" customHeight="false" outlineLevel="0" collapsed="false">
      <c r="A11" s="2"/>
      <c r="B11" s="9" t="s">
        <v>68</v>
      </c>
      <c r="C11" s="29" t="n">
        <f aca="false">IF(SolveMode="Fix iterations, compute team",MAX(1,ROUND(IterIn,0)),MAX(1,ROUNDUP((RepHrs/(PeakTeamIn*HrsWk)+(RampUp+RampDown)/2)/IterLen,0)))</f>
        <v>10</v>
      </c>
      <c r="D11" s="2"/>
      <c r="E11" s="2"/>
      <c r="F11" s="2"/>
      <c r="G11" s="2"/>
    </row>
    <row r="12" customFormat="false" ht="15" hidden="false" customHeight="false" outlineLevel="0" collapsed="false">
      <c r="A12" s="2"/>
      <c r="B12" s="9" t="s">
        <v>531</v>
      </c>
      <c r="C12" s="29" t="n">
        <f aca="false">IterCount*IterLen</f>
        <v>20</v>
      </c>
      <c r="D12" s="2"/>
      <c r="E12" s="2"/>
      <c r="F12" s="2"/>
      <c r="G12" s="2"/>
    </row>
    <row r="13" customFormat="false" ht="15" hidden="false" customHeight="false" outlineLevel="0" collapsed="false">
      <c r="A13" s="2"/>
      <c r="B13" s="9" t="s">
        <v>532</v>
      </c>
      <c r="C13" s="29" t="n">
        <f aca="false">RepStart+RepWeeks-1</f>
        <v>28</v>
      </c>
      <c r="D13" s="2"/>
      <c r="E13" s="2"/>
      <c r="F13" s="2"/>
      <c r="G13" s="2"/>
    </row>
    <row r="14" customFormat="false" ht="15" hidden="false" customHeight="false" outlineLevel="0" collapsed="false">
      <c r="A14" s="2"/>
      <c r="B14" s="9" t="s">
        <v>533</v>
      </c>
      <c r="C14" s="29" t="n">
        <f aca="false">MAX(DevStart,RepStart+ROUNDUP(RepWeeks/2,0)-1)</f>
        <v>18</v>
      </c>
      <c r="D14" s="2"/>
      <c r="E14" s="2"/>
      <c r="F14" s="2"/>
      <c r="G14" s="2"/>
    </row>
    <row r="15" customFormat="false" ht="15" hidden="false" customHeight="false" outlineLevel="0" collapsed="false">
      <c r="A15" s="2"/>
      <c r="B15" s="9" t="s">
        <v>534</v>
      </c>
      <c r="C15" s="51" t="n">
        <f aca="false">IF(RampWeightSum&gt;0,RepHrs/(HrsWk*RampWeightSum),0)</f>
        <v>9.12744543795956</v>
      </c>
      <c r="D15" s="2"/>
      <c r="E15" s="2"/>
      <c r="F15" s="2"/>
      <c r="G15" s="2"/>
    </row>
    <row r="16" customFormat="false" ht="15" hidden="false" customHeight="false" outlineLevel="0" collapsed="false">
      <c r="A16" s="2"/>
      <c r="B16" s="9" t="s">
        <v>535</v>
      </c>
      <c r="C16" s="22" t="n">
        <f aca="false">DevHrsTotal/IterCount</f>
        <v>858.46028978125</v>
      </c>
      <c r="D16" s="2"/>
      <c r="E16" s="2"/>
      <c r="F16" s="2"/>
      <c r="G16" s="2"/>
    </row>
    <row r="17" customFormat="false" ht="15" hidden="false" customHeight="false" outlineLevel="0" collapsed="false">
      <c r="A17" s="2"/>
      <c r="B17" s="9" t="s">
        <v>536</v>
      </c>
      <c r="C17" s="22" t="n">
        <f aca="false">(PagesFull+PagesDerived)/IterCount</f>
        <v>119</v>
      </c>
      <c r="D17" s="2"/>
      <c r="E17" s="2"/>
      <c r="F17" s="2"/>
      <c r="G17" s="2"/>
    </row>
    <row r="18" customFormat="false" ht="15" hidden="false" customHeight="false" outlineLevel="0" collapsed="false">
      <c r="A18" s="2"/>
      <c r="B18" s="9" t="s">
        <v>537</v>
      </c>
      <c r="C18" s="29" t="n">
        <f aca="false">MAX(SITMin,ROUNDUP(SITPct*DevHrsPerIter/(MAX(SITWk,0.5)*HrsWk),0))</f>
        <v>4</v>
      </c>
      <c r="D18" s="2"/>
      <c r="E18" s="2"/>
      <c r="F18" s="2"/>
      <c r="G18" s="2"/>
    </row>
    <row r="19" customFormat="false" ht="15" hidden="false" customHeight="false" outlineLevel="0" collapsed="false">
      <c r="A19" s="2"/>
      <c r="B19" s="9" t="s">
        <v>538</v>
      </c>
      <c r="C19" s="29" t="n">
        <f aca="false">IF(PagesPerIter&lt;=UATThreshold,UATLow,UATHigh)</f>
        <v>1</v>
      </c>
      <c r="D19" s="2"/>
      <c r="E19" s="2"/>
      <c r="F19" s="2"/>
      <c r="G19" s="2"/>
    </row>
    <row r="20" customFormat="false" ht="15" hidden="false" customHeight="false" outlineLevel="0" collapsed="false">
      <c r="A20" s="2"/>
      <c r="B20" s="9" t="s">
        <v>539</v>
      </c>
      <c r="C20" s="29" t="n">
        <f aca="false">RepStart+IterLen</f>
        <v>11</v>
      </c>
      <c r="D20" s="2"/>
      <c r="E20" s="2"/>
      <c r="F20" s="2"/>
      <c r="G20" s="2"/>
    </row>
    <row r="21" customFormat="false" ht="15" hidden="false" customHeight="false" outlineLevel="0" collapsed="false">
      <c r="A21" s="2"/>
      <c r="B21" s="9" t="s">
        <v>540</v>
      </c>
      <c r="C21" s="29" t="n">
        <f aca="false">RepEnd+IterLen+SITFinal</f>
        <v>31</v>
      </c>
      <c r="D21" s="2"/>
      <c r="E21" s="2"/>
      <c r="F21" s="2"/>
      <c r="G21" s="2"/>
    </row>
    <row r="22" customFormat="false" ht="15" hidden="false" customHeight="false" outlineLevel="0" collapsed="false">
      <c r="A22" s="2"/>
      <c r="B22" s="9" t="s">
        <v>541</v>
      </c>
      <c r="C22" s="29" t="n">
        <f aca="false">RepStart+2*IterLen</f>
        <v>13</v>
      </c>
      <c r="D22" s="2"/>
      <c r="E22" s="2"/>
      <c r="F22" s="2"/>
      <c r="G22" s="2"/>
    </row>
    <row r="23" customFormat="false" ht="15" hidden="false" customHeight="false" outlineLevel="0" collapsed="false">
      <c r="A23" s="2"/>
      <c r="B23" s="9" t="s">
        <v>542</v>
      </c>
      <c r="C23" s="29" t="n">
        <f aca="false">RepEnd+2*IterLen+SITFinal+UATFinal</f>
        <v>34</v>
      </c>
      <c r="D23" s="2"/>
      <c r="E23" s="2"/>
      <c r="F23" s="2"/>
      <c r="G23" s="2"/>
    </row>
    <row r="24" customFormat="false" ht="15" hidden="false" customHeight="false" outlineLevel="0" collapsed="false">
      <c r="A24" s="2"/>
      <c r="B24" s="2"/>
      <c r="C24" s="2"/>
      <c r="D24" s="2"/>
      <c r="E24" s="2"/>
      <c r="F24" s="2"/>
      <c r="G24" s="2"/>
    </row>
    <row r="25" customFormat="false" ht="15" hidden="false" customHeight="false" outlineLevel="0" collapsed="false">
      <c r="A25" s="2"/>
      <c r="B25" s="2"/>
      <c r="C25" s="2"/>
      <c r="D25" s="2"/>
      <c r="E25" s="2"/>
      <c r="F25" s="2"/>
      <c r="G25" s="2"/>
    </row>
    <row r="26" customFormat="false" ht="15" hidden="false" customHeight="false" outlineLevel="0" collapsed="false">
      <c r="A26" s="2"/>
      <c r="B26" s="19" t="s">
        <v>543</v>
      </c>
      <c r="C26" s="20"/>
      <c r="D26" s="20"/>
      <c r="E26" s="20"/>
      <c r="F26" s="20"/>
      <c r="G26" s="20"/>
    </row>
    <row r="27" customFormat="false" ht="30" hidden="false" customHeight="true" outlineLevel="0" collapsed="false">
      <c r="A27" s="2"/>
      <c r="B27" s="21" t="s">
        <v>494</v>
      </c>
      <c r="C27" s="21" t="s">
        <v>544</v>
      </c>
      <c r="D27" s="21" t="s">
        <v>545</v>
      </c>
      <c r="E27" s="21" t="s">
        <v>546</v>
      </c>
      <c r="F27" s="21" t="s">
        <v>547</v>
      </c>
      <c r="G27" s="21" t="s">
        <v>548</v>
      </c>
    </row>
    <row r="28" customFormat="false" ht="15" hidden="false" customHeight="false" outlineLevel="0" collapsed="false">
      <c r="A28" s="2"/>
      <c r="B28" s="9" t="n">
        <v>1</v>
      </c>
      <c r="C28" s="22" t="n">
        <f aca="false">SUMIFS(EffDev,EffWave,B28)</f>
        <v>5963.3044134375</v>
      </c>
      <c r="D28" s="22" t="n">
        <f aca="false">SUM($C$28:C28)</f>
        <v>5963.3044134375</v>
      </c>
      <c r="E28" s="29" t="n">
        <f aca="false">IF(DevHrsTotal&gt;0,ROUND(IterCount*D28/DevHrsTotal,0),0)</f>
        <v>7</v>
      </c>
      <c r="F28" s="29" t="n">
        <f aca="false">IF(C28&gt;0,B28,0)</f>
        <v>1</v>
      </c>
      <c r="G28" s="29" t="n">
        <f aca="false">IF(C28&gt;0,IF(B28=LastWave,LastGoLive,RepStart-1+E28*IterLen+2*IterLen),"")</f>
        <v>26</v>
      </c>
    </row>
    <row r="29" customFormat="false" ht="15" hidden="false" customHeight="false" outlineLevel="0" collapsed="false">
      <c r="A29" s="2"/>
      <c r="B29" s="9" t="n">
        <v>2</v>
      </c>
      <c r="C29" s="22" t="n">
        <f aca="false">SUMIFS(EffDev,EffWave,B29)</f>
        <v>2621.298484375</v>
      </c>
      <c r="D29" s="22" t="n">
        <f aca="false">SUM($C$28:C29)</f>
        <v>8584.6028978125</v>
      </c>
      <c r="E29" s="29" t="n">
        <f aca="false">IF(DevHrsTotal&gt;0,ROUND(IterCount*D29/DevHrsTotal,0),0)</f>
        <v>10</v>
      </c>
      <c r="F29" s="29" t="n">
        <f aca="false">IF(C29&gt;0,B29,0)</f>
        <v>2</v>
      </c>
      <c r="G29" s="29" t="n">
        <f aca="false">IF(C29&gt;0,IF(B29=LastWave,LastGoLive,RepStart-1+E29*IterLen+2*IterLen),"")</f>
        <v>34</v>
      </c>
    </row>
    <row r="30" customFormat="false" ht="15" hidden="false" customHeight="false" outlineLevel="0" collapsed="false">
      <c r="A30" s="2"/>
      <c r="B30" s="9" t="n">
        <v>3</v>
      </c>
      <c r="C30" s="22" t="n">
        <f aca="false">SUMIFS(EffDev,EffWave,B30)</f>
        <v>0</v>
      </c>
      <c r="D30" s="22" t="n">
        <f aca="false">SUM($C$28:C30)</f>
        <v>8584.6028978125</v>
      </c>
      <c r="E30" s="29" t="n">
        <f aca="false">IF(DevHrsTotal&gt;0,ROUND(IterCount*D30/DevHrsTotal,0),0)</f>
        <v>10</v>
      </c>
      <c r="F30" s="29" t="n">
        <f aca="false">IF(C30&gt;0,B30,0)</f>
        <v>0</v>
      </c>
      <c r="G30" s="29" t="str">
        <f aca="false">IF(C30&gt;0,IF(B30=LastWave,LastGoLive,RepStart-1+E30*IterLen+2*IterLen),"")</f>
        <v/>
      </c>
    </row>
    <row r="31" customFormat="false" ht="15" hidden="false" customHeight="false" outlineLevel="0" collapsed="false">
      <c r="A31" s="2"/>
      <c r="B31" s="9" t="n">
        <v>4</v>
      </c>
      <c r="C31" s="22" t="n">
        <f aca="false">SUMIFS(EffDev,EffWave,B31)</f>
        <v>0</v>
      </c>
      <c r="D31" s="22" t="n">
        <f aca="false">SUM($C$28:C31)</f>
        <v>8584.6028978125</v>
      </c>
      <c r="E31" s="29" t="n">
        <f aca="false">IF(DevHrsTotal&gt;0,ROUND(IterCount*D31/DevHrsTotal,0),0)</f>
        <v>10</v>
      </c>
      <c r="F31" s="29" t="n">
        <f aca="false">IF(C31&gt;0,B31,0)</f>
        <v>0</v>
      </c>
      <c r="G31" s="29" t="str">
        <f aca="false">IF(C31&gt;0,IF(B31=LastWave,LastGoLive,RepStart-1+E31*IterLen+2*IterLen),"")</f>
        <v/>
      </c>
    </row>
    <row r="32" customFormat="false" ht="15" hidden="false" customHeight="false" outlineLevel="0" collapsed="false">
      <c r="A32" s="2"/>
      <c r="B32" s="9" t="n">
        <v>5</v>
      </c>
      <c r="C32" s="22" t="n">
        <f aca="false">SUMIFS(EffDev,EffWave,B32)</f>
        <v>0</v>
      </c>
      <c r="D32" s="22" t="n">
        <f aca="false">SUM($C$28:C32)</f>
        <v>8584.6028978125</v>
      </c>
      <c r="E32" s="29" t="n">
        <f aca="false">IF(DevHrsTotal&gt;0,ROUND(IterCount*D32/DevHrsTotal,0),0)</f>
        <v>10</v>
      </c>
      <c r="F32" s="29" t="n">
        <f aca="false">IF(C32&gt;0,B32,0)</f>
        <v>0</v>
      </c>
      <c r="G32" s="29" t="str">
        <f aca="false">IF(C32&gt;0,IF(B32=LastWave,LastGoLive,RepStart-1+E32*IterLen+2*IterLen),"")</f>
        <v/>
      </c>
    </row>
    <row r="33" customFormat="false" ht="15" hidden="false" customHeight="false" outlineLevel="0" collapsed="false">
      <c r="A33" s="2"/>
      <c r="B33" s="2"/>
      <c r="C33" s="2"/>
      <c r="D33" s="2"/>
      <c r="E33" s="2"/>
      <c r="F33" s="2"/>
      <c r="G33" s="2"/>
    </row>
    <row r="34" customFormat="false" ht="15" hidden="false" customHeight="false" outlineLevel="0" collapsed="false">
      <c r="A34" s="2"/>
      <c r="B34" s="9" t="s">
        <v>549</v>
      </c>
      <c r="C34" s="29" t="n">
        <f aca="false">MAX(F28:F32)</f>
        <v>2</v>
      </c>
      <c r="D34" s="2"/>
      <c r="E34" s="2"/>
      <c r="F34" s="2"/>
      <c r="G34" s="2"/>
    </row>
    <row r="35" customFormat="false" ht="15" hidden="false" customHeight="false" outlineLevel="0" collapsed="false">
      <c r="A35" s="2"/>
      <c r="B35" s="9" t="s">
        <v>550</v>
      </c>
      <c r="C35" s="29" t="n">
        <f aca="false">COUNTIF(C28:C32,"&gt;0")</f>
        <v>2</v>
      </c>
      <c r="D35" s="2"/>
      <c r="E35" s="2"/>
      <c r="F35" s="2"/>
      <c r="G35" s="2"/>
    </row>
    <row r="36" customFormat="false" ht="15" hidden="false" customHeight="false" outlineLevel="0" collapsed="false">
      <c r="A36" s="2"/>
      <c r="B36" s="9" t="s">
        <v>551</v>
      </c>
      <c r="C36" s="29" t="n">
        <f aca="false">IF(Releases&gt;0,MIN(WaveGoLive),LastGoLive)</f>
        <v>26</v>
      </c>
      <c r="D36" s="2"/>
      <c r="E36" s="2"/>
      <c r="F36" s="2"/>
      <c r="G36" s="2"/>
    </row>
    <row r="37" customFormat="false" ht="15" hidden="false" customHeight="false" outlineLevel="0" collapsed="false">
      <c r="A37" s="2"/>
      <c r="B37" s="9" t="s">
        <v>552</v>
      </c>
      <c r="C37" s="29" t="n">
        <f aca="false">FirstGoLive+1</f>
        <v>27</v>
      </c>
      <c r="D37" s="2"/>
      <c r="E37" s="2"/>
      <c r="F37" s="2"/>
      <c r="G37" s="2"/>
    </row>
    <row r="38" customFormat="false" ht="15" hidden="false" customHeight="false" outlineLevel="0" collapsed="false">
      <c r="A38" s="2"/>
      <c r="B38" s="9" t="s">
        <v>553</v>
      </c>
      <c r="C38" s="29" t="n">
        <f aca="false">LastGoLive+HCWk</f>
        <v>36</v>
      </c>
      <c r="D38" s="2"/>
      <c r="E38" s="2"/>
      <c r="F38" s="2"/>
      <c r="G38" s="2"/>
    </row>
    <row r="39" customFormat="false" ht="15" hidden="false" customHeight="false" outlineLevel="0" collapsed="false">
      <c r="A39" s="2"/>
      <c r="B39" s="26" t="s">
        <v>554</v>
      </c>
      <c r="C39" s="54" t="n">
        <f aca="false">ProgEnd</f>
        <v>36</v>
      </c>
      <c r="D39" s="2"/>
      <c r="E39" s="2"/>
      <c r="F39" s="2"/>
      <c r="G39" s="2"/>
    </row>
    <row r="40" customFormat="false" ht="15" hidden="false" customHeight="false" outlineLevel="0" collapsed="false">
      <c r="A40" s="2"/>
      <c r="B40" s="9" t="s">
        <v>555</v>
      </c>
      <c r="C40" s="29" t="n">
        <f aca="false">ROUNDUP(DurationWeeks*(1+HolidayPct),0)</f>
        <v>38</v>
      </c>
      <c r="D40" s="2"/>
      <c r="E40" s="2"/>
      <c r="F40" s="2"/>
      <c r="G40" s="2"/>
    </row>
    <row r="41" customFormat="false" ht="15" hidden="false" customHeight="false" outlineLevel="0" collapsed="false">
      <c r="A41" s="2"/>
      <c r="B41" s="9" t="s">
        <v>67</v>
      </c>
      <c r="C41" s="30" t="n">
        <f aca="false">StartDate+CalendarWeeks*7-3</f>
        <v>46654</v>
      </c>
      <c r="D41" s="2"/>
      <c r="E41" s="2"/>
      <c r="F41" s="2"/>
      <c r="G41" s="2"/>
    </row>
    <row r="42" customFormat="false" ht="15" hidden="false" customHeight="false" outlineLevel="0" collapsed="false">
      <c r="A42" s="2"/>
      <c r="B42" s="2"/>
      <c r="C42" s="2"/>
      <c r="D42" s="2"/>
      <c r="E42" s="2"/>
      <c r="F42" s="2"/>
      <c r="G42" s="2"/>
    </row>
    <row r="43" customFormat="false" ht="15" hidden="false" customHeight="false" outlineLevel="0" collapsed="false">
      <c r="A43" s="2"/>
      <c r="B43" s="2"/>
      <c r="C43" s="2"/>
      <c r="D43" s="2"/>
      <c r="E43" s="2"/>
      <c r="F43" s="2"/>
      <c r="G43" s="2"/>
    </row>
    <row r="44" customFormat="false" ht="15" hidden="false" customHeight="false" outlineLevel="0" collapsed="false">
      <c r="A44" s="2"/>
      <c r="B44" s="19" t="s">
        <v>556</v>
      </c>
      <c r="C44" s="20"/>
      <c r="D44" s="20"/>
      <c r="E44" s="20"/>
      <c r="F44" s="20"/>
      <c r="G44" s="20"/>
    </row>
    <row r="45" customFormat="false" ht="30" hidden="false" customHeight="true" outlineLevel="0" collapsed="false">
      <c r="A45" s="2"/>
      <c r="B45" s="21" t="s">
        <v>74</v>
      </c>
      <c r="C45" s="21" t="s">
        <v>557</v>
      </c>
      <c r="D45" s="21" t="s">
        <v>558</v>
      </c>
      <c r="E45" s="21" t="s">
        <v>559</v>
      </c>
      <c r="F45" s="21" t="s">
        <v>75</v>
      </c>
      <c r="G45" s="21" t="s">
        <v>560</v>
      </c>
    </row>
    <row r="46" customFormat="false" ht="15" hidden="false" customHeight="false" outlineLevel="0" collapsed="false">
      <c r="A46" s="2"/>
      <c r="B46" s="9" t="s">
        <v>82</v>
      </c>
      <c r="C46" s="29" t="n">
        <f aca="false">1</f>
        <v>1</v>
      </c>
      <c r="D46" s="29" t="n">
        <f aca="false">AssessEnd</f>
        <v>6</v>
      </c>
      <c r="E46" s="9" t="s">
        <v>561</v>
      </c>
      <c r="F46" s="22" t="n">
        <f aca="false">INDEX(PhaseHours,1)</f>
        <v>693</v>
      </c>
      <c r="G46" s="29" t="n">
        <f aca="false">MAX(0,D46-C46+1)</f>
        <v>6</v>
      </c>
    </row>
    <row r="47" customFormat="false" ht="15" hidden="false" customHeight="false" outlineLevel="0" collapsed="false">
      <c r="A47" s="2"/>
      <c r="B47" s="9" t="s">
        <v>83</v>
      </c>
      <c r="C47" s="29" t="n">
        <f aca="false">ArchStart</f>
        <v>4</v>
      </c>
      <c r="D47" s="29" t="n">
        <f aca="false">ArchEnd</f>
        <v>5</v>
      </c>
      <c r="E47" s="9" t="s">
        <v>561</v>
      </c>
      <c r="F47" s="22" t="n">
        <f aca="false">INDEX(PhaseHours,2)</f>
        <v>128</v>
      </c>
      <c r="G47" s="29" t="n">
        <f aca="false">MAX(0,D47-C47+1)</f>
        <v>2</v>
      </c>
    </row>
    <row r="48" customFormat="false" ht="15" hidden="false" customHeight="false" outlineLevel="0" collapsed="false">
      <c r="A48" s="2"/>
      <c r="B48" s="9" t="s">
        <v>84</v>
      </c>
      <c r="C48" s="29" t="n">
        <f aca="false">DevStart</f>
        <v>7</v>
      </c>
      <c r="D48" s="29" t="n">
        <f aca="false">SemEnd</f>
        <v>18</v>
      </c>
      <c r="E48" s="9" t="s">
        <v>561</v>
      </c>
      <c r="F48" s="22" t="n">
        <f aca="false">INDEX(PhaseHours,3)</f>
        <v>2377.94</v>
      </c>
      <c r="G48" s="29" t="n">
        <f aca="false">MAX(0,D48-C48+1)</f>
        <v>12</v>
      </c>
    </row>
    <row r="49" customFormat="false" ht="15" hidden="false" customHeight="false" outlineLevel="0" collapsed="false">
      <c r="A49" s="2"/>
      <c r="B49" s="9" t="s">
        <v>85</v>
      </c>
      <c r="C49" s="29" t="n">
        <f aca="false">RepStart</f>
        <v>9</v>
      </c>
      <c r="D49" s="29" t="n">
        <f aca="false">RepEnd</f>
        <v>28</v>
      </c>
      <c r="E49" s="9" t="s">
        <v>562</v>
      </c>
      <c r="F49" s="22" t="n">
        <f aca="false">INDEX(PhaseHours,4)</f>
        <v>6206.6628978125</v>
      </c>
      <c r="G49" s="29" t="n">
        <f aca="false">MAX(0,D49-C49+1)</f>
        <v>20</v>
      </c>
    </row>
    <row r="50" customFormat="false" ht="15" hidden="false" customHeight="false" outlineLevel="0" collapsed="false">
      <c r="A50" s="2"/>
      <c r="B50" s="9" t="s">
        <v>86</v>
      </c>
      <c r="C50" s="29" t="n">
        <f aca="false">SITStart</f>
        <v>11</v>
      </c>
      <c r="D50" s="29" t="n">
        <f aca="false">SITEnd</f>
        <v>31</v>
      </c>
      <c r="E50" s="9" t="s">
        <v>561</v>
      </c>
      <c r="F50" s="22" t="n">
        <f aca="false">INDEX(PhaseHours,5)</f>
        <v>1840</v>
      </c>
      <c r="G50" s="29" t="n">
        <f aca="false">MAX(0,D50-C50+1)</f>
        <v>21</v>
      </c>
    </row>
    <row r="51" customFormat="false" ht="15" hidden="false" customHeight="false" outlineLevel="0" collapsed="false">
      <c r="A51" s="2"/>
      <c r="B51" s="9" t="s">
        <v>87</v>
      </c>
      <c r="C51" s="29" t="n">
        <f aca="false">UATStart</f>
        <v>13</v>
      </c>
      <c r="D51" s="29" t="n">
        <f aca="false">LastGoLive</f>
        <v>34</v>
      </c>
      <c r="E51" s="9" t="s">
        <v>561</v>
      </c>
      <c r="F51" s="22" t="n">
        <f aca="false">INDEX(PhaseHours,6)</f>
        <v>440</v>
      </c>
      <c r="G51" s="29" t="n">
        <f aca="false">MAX(0,D51-C51+1)</f>
        <v>22</v>
      </c>
    </row>
    <row r="52" customFormat="false" ht="15" hidden="false" customHeight="false" outlineLevel="0" collapsed="false">
      <c r="A52" s="2"/>
      <c r="B52" s="9" t="s">
        <v>88</v>
      </c>
      <c r="C52" s="29" t="n">
        <f aca="false">UATStart</f>
        <v>13</v>
      </c>
      <c r="D52" s="29" t="n">
        <f aca="false">LastGoLive</f>
        <v>34</v>
      </c>
      <c r="E52" s="9" t="s">
        <v>561</v>
      </c>
      <c r="F52" s="22" t="n">
        <f aca="false">INDEX(PhaseHours,7)</f>
        <v>400</v>
      </c>
      <c r="G52" s="29" t="n">
        <f aca="false">MAX(0,D52-C52+1)</f>
        <v>22</v>
      </c>
    </row>
    <row r="53" customFormat="false" ht="15" hidden="false" customHeight="false" outlineLevel="0" collapsed="false">
      <c r="A53" s="2"/>
      <c r="B53" s="9" t="s">
        <v>89</v>
      </c>
      <c r="C53" s="29" t="n">
        <f aca="false">HCStart</f>
        <v>27</v>
      </c>
      <c r="D53" s="29" t="n">
        <f aca="false">ProgEnd</f>
        <v>36</v>
      </c>
      <c r="E53" s="9" t="s">
        <v>561</v>
      </c>
      <c r="F53" s="22" t="n">
        <f aca="false">INDEX(PhaseHours,8)</f>
        <v>320</v>
      </c>
      <c r="G53" s="29" t="n">
        <f aca="false">MAX(0,D53-C53+1)</f>
        <v>10</v>
      </c>
    </row>
    <row r="54" customFormat="false" ht="15" hidden="false" customHeight="false" outlineLevel="0" collapsed="false">
      <c r="A54" s="2"/>
      <c r="B54" s="9" t="s">
        <v>90</v>
      </c>
      <c r="C54" s="29" t="n">
        <f aca="false">RepStart</f>
        <v>9</v>
      </c>
      <c r="D54" s="29" t="n">
        <f aca="false">LastGoLive</f>
        <v>34</v>
      </c>
      <c r="E54" s="9" t="s">
        <v>561</v>
      </c>
      <c r="F54" s="22" t="n">
        <f aca="false">INDEX(PhaseHours,9)</f>
        <v>351</v>
      </c>
      <c r="G54" s="29" t="n">
        <f aca="false">MAX(0,D54-C54+1)</f>
        <v>26</v>
      </c>
    </row>
    <row r="55" customFormat="false" ht="15" hidden="false" customHeight="false" outlineLevel="0" collapsed="false">
      <c r="A55" s="2"/>
      <c r="B55" s="9" t="s">
        <v>92</v>
      </c>
      <c r="C55" s="29" t="n">
        <f aca="false">RepStart</f>
        <v>9</v>
      </c>
      <c r="D55" s="29" t="n">
        <f aca="false">RepEnd</f>
        <v>28</v>
      </c>
      <c r="E55" s="9" t="s">
        <v>561</v>
      </c>
      <c r="F55" s="22" t="n">
        <f aca="false">INDEX(PhaseHours,10)</f>
        <v>128</v>
      </c>
      <c r="G55" s="29" t="n">
        <f aca="false">MAX(0,D55-C55+1)</f>
        <v>20</v>
      </c>
    </row>
    <row r="56" customFormat="false" ht="15" hidden="false" customHeight="false" outlineLevel="0" collapsed="false">
      <c r="A56" s="2"/>
      <c r="B56" s="9" t="s">
        <v>93</v>
      </c>
      <c r="C56" s="29" t="n">
        <f aca="false">1</f>
        <v>1</v>
      </c>
      <c r="D56" s="29" t="n">
        <f aca="false">ProgEnd</f>
        <v>36</v>
      </c>
      <c r="E56" s="9" t="s">
        <v>561</v>
      </c>
      <c r="F56" s="22" t="n">
        <f aca="false">INDEX(PhaseHours,11)</f>
        <v>1440</v>
      </c>
      <c r="G56" s="29" t="n">
        <f aca="false">MAX(0,D56-C56+1)</f>
        <v>36</v>
      </c>
    </row>
    <row r="57" customFormat="false" ht="15" hidden="false" customHeight="false" outlineLevel="0" collapsed="false">
      <c r="A57" s="2"/>
      <c r="B57" s="2"/>
      <c r="C57" s="2"/>
      <c r="D57" s="2"/>
      <c r="E57" s="2"/>
      <c r="F57" s="2"/>
      <c r="G57" s="2"/>
    </row>
    <row r="58" customFormat="false" ht="15" hidden="false" customHeight="false" outlineLevel="0" collapsed="false">
      <c r="A58" s="2"/>
      <c r="B58" s="2"/>
      <c r="C58" s="2"/>
      <c r="D58" s="2"/>
      <c r="E58" s="2"/>
      <c r="F58" s="2"/>
      <c r="G58" s="2"/>
    </row>
    <row r="59" customFormat="false" ht="15" hidden="false" customHeight="false" outlineLevel="0" collapsed="false">
      <c r="A59" s="2"/>
      <c r="B59" s="19" t="s">
        <v>563</v>
      </c>
      <c r="C59" s="20"/>
      <c r="D59" s="20"/>
      <c r="E59" s="2"/>
      <c r="F59" s="2"/>
      <c r="G59" s="2"/>
    </row>
    <row r="60" customFormat="false" ht="30" hidden="false" customHeight="true" outlineLevel="0" collapsed="false">
      <c r="A60" s="2"/>
      <c r="B60" s="21" t="s">
        <v>97</v>
      </c>
      <c r="C60" s="21" t="s">
        <v>98</v>
      </c>
      <c r="D60" s="21" t="s">
        <v>564</v>
      </c>
      <c r="E60" s="2"/>
      <c r="F60" s="2"/>
      <c r="G60" s="2"/>
    </row>
    <row r="61" customFormat="false" ht="15" hidden="false" customHeight="false" outlineLevel="0" collapsed="false">
      <c r="A61" s="2"/>
      <c r="B61" s="9" t="s">
        <v>175</v>
      </c>
      <c r="C61" s="29" t="n">
        <f aca="false">AssessEnd</f>
        <v>6</v>
      </c>
      <c r="D61" s="30" t="n">
        <f aca="false">IF(ISNUMBER(C61),StartDate+ROUNDUP(C61*(1+HolidayPct),0)*7-3,"")</f>
        <v>46437</v>
      </c>
      <c r="E61" s="2"/>
      <c r="F61" s="2"/>
      <c r="G61" s="2"/>
    </row>
    <row r="62" customFormat="false" ht="15" hidden="false" customHeight="false" outlineLevel="0" collapsed="false">
      <c r="A62" s="2"/>
      <c r="B62" s="9" t="s">
        <v>176</v>
      </c>
      <c r="C62" s="29" t="n">
        <f aca="false">ArchEnd</f>
        <v>5</v>
      </c>
      <c r="D62" s="30" t="n">
        <f aca="false">IF(ISNUMBER(C62),StartDate+ROUNDUP(C62*(1+HolidayPct),0)*7-3,"")</f>
        <v>46430</v>
      </c>
      <c r="E62" s="2"/>
      <c r="F62" s="2"/>
      <c r="G62" s="2"/>
    </row>
    <row r="63" customFormat="false" ht="15" hidden="false" customHeight="false" outlineLevel="0" collapsed="false">
      <c r="A63" s="2"/>
      <c r="B63" s="9" t="s">
        <v>565</v>
      </c>
      <c r="C63" s="29" t="n">
        <f aca="false">RepStart-1</f>
        <v>8</v>
      </c>
      <c r="D63" s="30" t="n">
        <f aca="false">IF(ISNUMBER(C63),StartDate+ROUNDUP(C63*(1+HolidayPct),0)*7-3,"")</f>
        <v>46451</v>
      </c>
      <c r="E63" s="2"/>
      <c r="F63" s="2"/>
      <c r="G63" s="2"/>
    </row>
    <row r="64" customFormat="false" ht="15" hidden="false" customHeight="false" outlineLevel="0" collapsed="false">
      <c r="A64" s="2"/>
      <c r="B64" s="9" t="s">
        <v>566</v>
      </c>
      <c r="C64" s="29" t="n">
        <f aca="false">RepStart</f>
        <v>9</v>
      </c>
      <c r="D64" s="30" t="n">
        <f aca="false">IF(ISNUMBER(C64),StartDate+ROUNDUP(C64*(1+HolidayPct),0)*7-3,"")</f>
        <v>46458</v>
      </c>
      <c r="E64" s="2"/>
      <c r="F64" s="2"/>
      <c r="G64" s="2"/>
    </row>
    <row r="65" customFormat="false" ht="15" hidden="false" customHeight="false" outlineLevel="0" collapsed="false">
      <c r="A65" s="2"/>
      <c r="B65" s="9" t="s">
        <v>567</v>
      </c>
      <c r="C65" s="29" t="n">
        <f aca="false">RepEnd</f>
        <v>28</v>
      </c>
      <c r="D65" s="30" t="n">
        <f aca="false">IF(ISNUMBER(C65),StartDate+ROUNDUP(C65*(1+HolidayPct),0)*7-3,"")</f>
        <v>46598</v>
      </c>
      <c r="E65" s="2"/>
      <c r="F65" s="2"/>
      <c r="G65" s="2"/>
    </row>
    <row r="66" customFormat="false" ht="15" hidden="false" customHeight="false" outlineLevel="0" collapsed="false">
      <c r="A66" s="2"/>
      <c r="B66" s="9" t="s">
        <v>568</v>
      </c>
      <c r="C66" s="29" t="n">
        <f aca="false">G28</f>
        <v>26</v>
      </c>
      <c r="D66" s="30" t="n">
        <f aca="false">IF(ISNUMBER(C66),StartDate+ROUNDUP(C66*(1+HolidayPct),0)*7-3,"")</f>
        <v>46584</v>
      </c>
      <c r="E66" s="2"/>
      <c r="F66" s="2"/>
      <c r="G66" s="2"/>
    </row>
    <row r="67" customFormat="false" ht="15" hidden="false" customHeight="false" outlineLevel="0" collapsed="false">
      <c r="A67" s="2"/>
      <c r="B67" s="9" t="s">
        <v>569</v>
      </c>
      <c r="C67" s="29" t="n">
        <f aca="false">G29</f>
        <v>34</v>
      </c>
      <c r="D67" s="30" t="n">
        <f aca="false">IF(ISNUMBER(C67),StartDate+ROUNDUP(C67*(1+HolidayPct),0)*7-3,"")</f>
        <v>46640</v>
      </c>
      <c r="E67" s="2"/>
      <c r="F67" s="2"/>
      <c r="G67" s="2"/>
    </row>
    <row r="68" customFormat="false" ht="15" hidden="false" customHeight="false" outlineLevel="0" collapsed="false">
      <c r="A68" s="2"/>
      <c r="B68" s="9" t="s">
        <v>570</v>
      </c>
      <c r="C68" s="29" t="str">
        <f aca="false">G30</f>
        <v/>
      </c>
      <c r="D68" s="30" t="str">
        <f aca="false">IF(ISNUMBER(C68),StartDate+ROUNDUP(C68*(1+HolidayPct),0)*7-3,"")</f>
        <v/>
      </c>
      <c r="E68" s="2"/>
      <c r="F68" s="2"/>
      <c r="G68" s="2"/>
    </row>
    <row r="69" customFormat="false" ht="15" hidden="false" customHeight="false" outlineLevel="0" collapsed="false">
      <c r="A69" s="2"/>
      <c r="B69" s="9" t="s">
        <v>571</v>
      </c>
      <c r="C69" s="29" t="str">
        <f aca="false">G31</f>
        <v/>
      </c>
      <c r="D69" s="30" t="str">
        <f aca="false">IF(ISNUMBER(C69),StartDate+ROUNDUP(C69*(1+HolidayPct),0)*7-3,"")</f>
        <v/>
      </c>
      <c r="E69" s="2"/>
      <c r="F69" s="2"/>
      <c r="G69" s="2"/>
    </row>
    <row r="70" customFormat="false" ht="15" hidden="false" customHeight="false" outlineLevel="0" collapsed="false">
      <c r="A70" s="2"/>
      <c r="B70" s="9" t="s">
        <v>572</v>
      </c>
      <c r="C70" s="29" t="str">
        <f aca="false">G32</f>
        <v/>
      </c>
      <c r="D70" s="30" t="str">
        <f aca="false">IF(ISNUMBER(C70),StartDate+ROUNDUP(C70*(1+HolidayPct),0)*7-3,"")</f>
        <v/>
      </c>
      <c r="E70" s="2"/>
      <c r="F70" s="2"/>
      <c r="G70" s="2"/>
    </row>
    <row r="71" customFormat="false" ht="15" hidden="false" customHeight="false" outlineLevel="0" collapsed="false">
      <c r="A71" s="2"/>
      <c r="B71" s="9" t="s">
        <v>573</v>
      </c>
      <c r="C71" s="29" t="n">
        <f aca="false">ProgEnd</f>
        <v>36</v>
      </c>
      <c r="D71" s="30" t="n">
        <f aca="false">IF(ISNUMBER(C71),StartDate+ROUNDUP(C71*(1+HolidayPct),0)*7-3,"")</f>
        <v>46654</v>
      </c>
      <c r="E71" s="2"/>
      <c r="F71" s="2"/>
      <c r="G71" s="2"/>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E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6" topLeftCell="F7" activePane="bottomRight" state="frozen"/>
      <selection pane="topLeft" activeCell="A1" activeCellId="0" sqref="A1"/>
      <selection pane="topRight" activeCell="F1" activeCellId="0" sqref="F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8"/>
    <col collapsed="false" customWidth="true" hidden="false" outlineLevel="0" max="4" min="4" style="0" width="10"/>
    <col collapsed="false" customWidth="true" hidden="false" outlineLevel="0" max="5" min="5" style="0" width="14"/>
    <col collapsed="false" customWidth="true" hidden="false" outlineLevel="0" max="109" min="6" style="0" width="7"/>
  </cols>
  <sheetData>
    <row r="1" customFormat="false" ht="19.7" hidden="false" customHeight="false" outlineLevel="0" collapsed="false">
      <c r="A1" s="1" t="s">
        <v>45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row>
    <row r="2" customFormat="false" ht="15" hidden="false" customHeight="false" outlineLevel="0" collapsed="false">
      <c r="A2" s="3" t="s">
        <v>574</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row>
    <row r="4" customFormat="false" ht="30" hidden="false" customHeight="true" outlineLevel="0" collapsed="false">
      <c r="A4" s="21" t="s">
        <v>575</v>
      </c>
      <c r="B4" s="21" t="s">
        <v>576</v>
      </c>
      <c r="C4" s="21" t="s">
        <v>577</v>
      </c>
      <c r="D4" s="21" t="s">
        <v>75</v>
      </c>
      <c r="E4" s="21" t="s">
        <v>578</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row>
    <row r="5" customFormat="false" ht="15" hidden="false" customHeight="false" outlineLevel="0" collapsed="false">
      <c r="A5" s="5" t="s">
        <v>579</v>
      </c>
      <c r="B5" s="2"/>
      <c r="C5" s="2"/>
      <c r="D5" s="2"/>
      <c r="E5" s="2"/>
      <c r="F5" s="55" t="n">
        <v>1</v>
      </c>
      <c r="G5" s="55" t="n">
        <v>2</v>
      </c>
      <c r="H5" s="55" t="n">
        <v>3</v>
      </c>
      <c r="I5" s="55" t="n">
        <v>4</v>
      </c>
      <c r="J5" s="55" t="n">
        <v>5</v>
      </c>
      <c r="K5" s="55" t="n">
        <v>6</v>
      </c>
      <c r="L5" s="55" t="n">
        <v>7</v>
      </c>
      <c r="M5" s="55" t="n">
        <v>8</v>
      </c>
      <c r="N5" s="55" t="n">
        <v>9</v>
      </c>
      <c r="O5" s="55" t="n">
        <v>10</v>
      </c>
      <c r="P5" s="55" t="n">
        <v>11</v>
      </c>
      <c r="Q5" s="55" t="n">
        <v>12</v>
      </c>
      <c r="R5" s="55" t="n">
        <v>13</v>
      </c>
      <c r="S5" s="55" t="n">
        <v>14</v>
      </c>
      <c r="T5" s="55" t="n">
        <v>15</v>
      </c>
      <c r="U5" s="55" t="n">
        <v>16</v>
      </c>
      <c r="V5" s="55" t="n">
        <v>17</v>
      </c>
      <c r="W5" s="55" t="n">
        <v>18</v>
      </c>
      <c r="X5" s="55" t="n">
        <v>19</v>
      </c>
      <c r="Y5" s="55" t="n">
        <v>20</v>
      </c>
      <c r="Z5" s="55" t="n">
        <v>21</v>
      </c>
      <c r="AA5" s="55" t="n">
        <v>22</v>
      </c>
      <c r="AB5" s="55" t="n">
        <v>23</v>
      </c>
      <c r="AC5" s="55" t="n">
        <v>24</v>
      </c>
      <c r="AD5" s="55" t="n">
        <v>25</v>
      </c>
      <c r="AE5" s="55" t="n">
        <v>26</v>
      </c>
      <c r="AF5" s="55" t="n">
        <v>27</v>
      </c>
      <c r="AG5" s="55" t="n">
        <v>28</v>
      </c>
      <c r="AH5" s="55" t="n">
        <v>29</v>
      </c>
      <c r="AI5" s="55" t="n">
        <v>30</v>
      </c>
      <c r="AJ5" s="55" t="n">
        <v>31</v>
      </c>
      <c r="AK5" s="55" t="n">
        <v>32</v>
      </c>
      <c r="AL5" s="55" t="n">
        <v>33</v>
      </c>
      <c r="AM5" s="55" t="n">
        <v>34</v>
      </c>
      <c r="AN5" s="55" t="n">
        <v>35</v>
      </c>
      <c r="AO5" s="55" t="n">
        <v>36</v>
      </c>
      <c r="AP5" s="55" t="n">
        <v>37</v>
      </c>
      <c r="AQ5" s="55" t="n">
        <v>38</v>
      </c>
      <c r="AR5" s="55" t="n">
        <v>39</v>
      </c>
      <c r="AS5" s="55" t="n">
        <v>40</v>
      </c>
      <c r="AT5" s="55" t="n">
        <v>41</v>
      </c>
      <c r="AU5" s="55" t="n">
        <v>42</v>
      </c>
      <c r="AV5" s="55" t="n">
        <v>43</v>
      </c>
      <c r="AW5" s="55" t="n">
        <v>44</v>
      </c>
      <c r="AX5" s="55" t="n">
        <v>45</v>
      </c>
      <c r="AY5" s="55" t="n">
        <v>46</v>
      </c>
      <c r="AZ5" s="55" t="n">
        <v>47</v>
      </c>
      <c r="BA5" s="55" t="n">
        <v>48</v>
      </c>
      <c r="BB5" s="55" t="n">
        <v>49</v>
      </c>
      <c r="BC5" s="55" t="n">
        <v>50</v>
      </c>
      <c r="BD5" s="55" t="n">
        <v>51</v>
      </c>
      <c r="BE5" s="55" t="n">
        <v>52</v>
      </c>
      <c r="BF5" s="55" t="n">
        <v>53</v>
      </c>
      <c r="BG5" s="55" t="n">
        <v>54</v>
      </c>
      <c r="BH5" s="55" t="n">
        <v>55</v>
      </c>
      <c r="BI5" s="55" t="n">
        <v>56</v>
      </c>
      <c r="BJ5" s="55" t="n">
        <v>57</v>
      </c>
      <c r="BK5" s="55" t="n">
        <v>58</v>
      </c>
      <c r="BL5" s="55" t="n">
        <v>59</v>
      </c>
      <c r="BM5" s="55" t="n">
        <v>60</v>
      </c>
      <c r="BN5" s="55" t="n">
        <v>61</v>
      </c>
      <c r="BO5" s="55" t="n">
        <v>62</v>
      </c>
      <c r="BP5" s="55" t="n">
        <v>63</v>
      </c>
      <c r="BQ5" s="55" t="n">
        <v>64</v>
      </c>
      <c r="BR5" s="55" t="n">
        <v>65</v>
      </c>
      <c r="BS5" s="55" t="n">
        <v>66</v>
      </c>
      <c r="BT5" s="55" t="n">
        <v>67</v>
      </c>
      <c r="BU5" s="55" t="n">
        <v>68</v>
      </c>
      <c r="BV5" s="55" t="n">
        <v>69</v>
      </c>
      <c r="BW5" s="55" t="n">
        <v>70</v>
      </c>
      <c r="BX5" s="55" t="n">
        <v>71</v>
      </c>
      <c r="BY5" s="55" t="n">
        <v>72</v>
      </c>
      <c r="BZ5" s="55" t="n">
        <v>73</v>
      </c>
      <c r="CA5" s="55" t="n">
        <v>74</v>
      </c>
      <c r="CB5" s="55" t="n">
        <v>75</v>
      </c>
      <c r="CC5" s="55" t="n">
        <v>76</v>
      </c>
      <c r="CD5" s="55" t="n">
        <v>77</v>
      </c>
      <c r="CE5" s="55" t="n">
        <v>78</v>
      </c>
      <c r="CF5" s="55" t="n">
        <v>79</v>
      </c>
      <c r="CG5" s="55" t="n">
        <v>80</v>
      </c>
      <c r="CH5" s="55" t="n">
        <v>81</v>
      </c>
      <c r="CI5" s="55" t="n">
        <v>82</v>
      </c>
      <c r="CJ5" s="55" t="n">
        <v>83</v>
      </c>
      <c r="CK5" s="55" t="n">
        <v>84</v>
      </c>
      <c r="CL5" s="55" t="n">
        <v>85</v>
      </c>
      <c r="CM5" s="55" t="n">
        <v>86</v>
      </c>
      <c r="CN5" s="55" t="n">
        <v>87</v>
      </c>
      <c r="CO5" s="55" t="n">
        <v>88</v>
      </c>
      <c r="CP5" s="55" t="n">
        <v>89</v>
      </c>
      <c r="CQ5" s="55" t="n">
        <v>90</v>
      </c>
      <c r="CR5" s="55" t="n">
        <v>91</v>
      </c>
      <c r="CS5" s="55" t="n">
        <v>92</v>
      </c>
      <c r="CT5" s="55" t="n">
        <v>93</v>
      </c>
      <c r="CU5" s="55" t="n">
        <v>94</v>
      </c>
      <c r="CV5" s="55" t="n">
        <v>95</v>
      </c>
      <c r="CW5" s="55" t="n">
        <v>96</v>
      </c>
      <c r="CX5" s="55" t="n">
        <v>97</v>
      </c>
      <c r="CY5" s="55" t="n">
        <v>98</v>
      </c>
      <c r="CZ5" s="55" t="n">
        <v>99</v>
      </c>
      <c r="DA5" s="55" t="n">
        <v>100</v>
      </c>
      <c r="DB5" s="55" t="n">
        <v>101</v>
      </c>
      <c r="DC5" s="55" t="n">
        <v>102</v>
      </c>
      <c r="DD5" s="55" t="n">
        <v>103</v>
      </c>
      <c r="DE5" s="55" t="n">
        <v>104</v>
      </c>
    </row>
    <row r="6" customFormat="false" ht="15" hidden="false" customHeight="false" outlineLevel="0" collapsed="false">
      <c r="A6" s="5" t="s">
        <v>580</v>
      </c>
      <c r="B6" s="2"/>
      <c r="C6" s="2"/>
      <c r="D6" s="2"/>
      <c r="E6" s="2"/>
      <c r="F6" s="56" t="n">
        <f aca="false">StartDate+(F5-1)*7</f>
        <v>46391</v>
      </c>
      <c r="G6" s="56" t="n">
        <f aca="false">StartDate+(G5-1)*7</f>
        <v>46398</v>
      </c>
      <c r="H6" s="56" t="n">
        <f aca="false">StartDate+(H5-1)*7</f>
        <v>46405</v>
      </c>
      <c r="I6" s="56" t="n">
        <f aca="false">StartDate+(I5-1)*7</f>
        <v>46412</v>
      </c>
      <c r="J6" s="56" t="n">
        <f aca="false">StartDate+(J5-1)*7</f>
        <v>46419</v>
      </c>
      <c r="K6" s="56" t="n">
        <f aca="false">StartDate+(K5-1)*7</f>
        <v>46426</v>
      </c>
      <c r="L6" s="56" t="n">
        <f aca="false">StartDate+(L5-1)*7</f>
        <v>46433</v>
      </c>
      <c r="M6" s="56" t="n">
        <f aca="false">StartDate+(M5-1)*7</f>
        <v>46440</v>
      </c>
      <c r="N6" s="56" t="n">
        <f aca="false">StartDate+(N5-1)*7</f>
        <v>46447</v>
      </c>
      <c r="O6" s="56" t="n">
        <f aca="false">StartDate+(O5-1)*7</f>
        <v>46454</v>
      </c>
      <c r="P6" s="56" t="n">
        <f aca="false">StartDate+(P5-1)*7</f>
        <v>46461</v>
      </c>
      <c r="Q6" s="56" t="n">
        <f aca="false">StartDate+(Q5-1)*7</f>
        <v>46468</v>
      </c>
      <c r="R6" s="56" t="n">
        <f aca="false">StartDate+(R5-1)*7</f>
        <v>46475</v>
      </c>
      <c r="S6" s="56" t="n">
        <f aca="false">StartDate+(S5-1)*7</f>
        <v>46482</v>
      </c>
      <c r="T6" s="56" t="n">
        <f aca="false">StartDate+(T5-1)*7</f>
        <v>46489</v>
      </c>
      <c r="U6" s="56" t="n">
        <f aca="false">StartDate+(U5-1)*7</f>
        <v>46496</v>
      </c>
      <c r="V6" s="56" t="n">
        <f aca="false">StartDate+(V5-1)*7</f>
        <v>46503</v>
      </c>
      <c r="W6" s="56" t="n">
        <f aca="false">StartDate+(W5-1)*7</f>
        <v>46510</v>
      </c>
      <c r="X6" s="56" t="n">
        <f aca="false">StartDate+(X5-1)*7</f>
        <v>46517</v>
      </c>
      <c r="Y6" s="56" t="n">
        <f aca="false">StartDate+(Y5-1)*7</f>
        <v>46524</v>
      </c>
      <c r="Z6" s="56" t="n">
        <f aca="false">StartDate+(Z5-1)*7</f>
        <v>46531</v>
      </c>
      <c r="AA6" s="56" t="n">
        <f aca="false">StartDate+(AA5-1)*7</f>
        <v>46538</v>
      </c>
      <c r="AB6" s="56" t="n">
        <f aca="false">StartDate+(AB5-1)*7</f>
        <v>46545</v>
      </c>
      <c r="AC6" s="56" t="n">
        <f aca="false">StartDate+(AC5-1)*7</f>
        <v>46552</v>
      </c>
      <c r="AD6" s="56" t="n">
        <f aca="false">StartDate+(AD5-1)*7</f>
        <v>46559</v>
      </c>
      <c r="AE6" s="56" t="n">
        <f aca="false">StartDate+(AE5-1)*7</f>
        <v>46566</v>
      </c>
      <c r="AF6" s="56" t="n">
        <f aca="false">StartDate+(AF5-1)*7</f>
        <v>46573</v>
      </c>
      <c r="AG6" s="56" t="n">
        <f aca="false">StartDate+(AG5-1)*7</f>
        <v>46580</v>
      </c>
      <c r="AH6" s="56" t="n">
        <f aca="false">StartDate+(AH5-1)*7</f>
        <v>46587</v>
      </c>
      <c r="AI6" s="56" t="n">
        <f aca="false">StartDate+(AI5-1)*7</f>
        <v>46594</v>
      </c>
      <c r="AJ6" s="56" t="n">
        <f aca="false">StartDate+(AJ5-1)*7</f>
        <v>46601</v>
      </c>
      <c r="AK6" s="56" t="n">
        <f aca="false">StartDate+(AK5-1)*7</f>
        <v>46608</v>
      </c>
      <c r="AL6" s="56" t="n">
        <f aca="false">StartDate+(AL5-1)*7</f>
        <v>46615</v>
      </c>
      <c r="AM6" s="56" t="n">
        <f aca="false">StartDate+(AM5-1)*7</f>
        <v>46622</v>
      </c>
      <c r="AN6" s="56" t="n">
        <f aca="false">StartDate+(AN5-1)*7</f>
        <v>46629</v>
      </c>
      <c r="AO6" s="56" t="n">
        <f aca="false">StartDate+(AO5-1)*7</f>
        <v>46636</v>
      </c>
      <c r="AP6" s="56" t="n">
        <f aca="false">StartDate+(AP5-1)*7</f>
        <v>46643</v>
      </c>
      <c r="AQ6" s="56" t="n">
        <f aca="false">StartDate+(AQ5-1)*7</f>
        <v>46650</v>
      </c>
      <c r="AR6" s="56" t="n">
        <f aca="false">StartDate+(AR5-1)*7</f>
        <v>46657</v>
      </c>
      <c r="AS6" s="56" t="n">
        <f aca="false">StartDate+(AS5-1)*7</f>
        <v>46664</v>
      </c>
      <c r="AT6" s="56" t="n">
        <f aca="false">StartDate+(AT5-1)*7</f>
        <v>46671</v>
      </c>
      <c r="AU6" s="56" t="n">
        <f aca="false">StartDate+(AU5-1)*7</f>
        <v>46678</v>
      </c>
      <c r="AV6" s="56" t="n">
        <f aca="false">StartDate+(AV5-1)*7</f>
        <v>46685</v>
      </c>
      <c r="AW6" s="56" t="n">
        <f aca="false">StartDate+(AW5-1)*7</f>
        <v>46692</v>
      </c>
      <c r="AX6" s="56" t="n">
        <f aca="false">StartDate+(AX5-1)*7</f>
        <v>46699</v>
      </c>
      <c r="AY6" s="56" t="n">
        <f aca="false">StartDate+(AY5-1)*7</f>
        <v>46706</v>
      </c>
      <c r="AZ6" s="56" t="n">
        <f aca="false">StartDate+(AZ5-1)*7</f>
        <v>46713</v>
      </c>
      <c r="BA6" s="56" t="n">
        <f aca="false">StartDate+(BA5-1)*7</f>
        <v>46720</v>
      </c>
      <c r="BB6" s="56" t="n">
        <f aca="false">StartDate+(BB5-1)*7</f>
        <v>46727</v>
      </c>
      <c r="BC6" s="56" t="n">
        <f aca="false">StartDate+(BC5-1)*7</f>
        <v>46734</v>
      </c>
      <c r="BD6" s="56" t="n">
        <f aca="false">StartDate+(BD5-1)*7</f>
        <v>46741</v>
      </c>
      <c r="BE6" s="56" t="n">
        <f aca="false">StartDate+(BE5-1)*7</f>
        <v>46748</v>
      </c>
      <c r="BF6" s="56" t="n">
        <f aca="false">StartDate+(BF5-1)*7</f>
        <v>46755</v>
      </c>
      <c r="BG6" s="56" t="n">
        <f aca="false">StartDate+(BG5-1)*7</f>
        <v>46762</v>
      </c>
      <c r="BH6" s="56" t="n">
        <f aca="false">StartDate+(BH5-1)*7</f>
        <v>46769</v>
      </c>
      <c r="BI6" s="56" t="n">
        <f aca="false">StartDate+(BI5-1)*7</f>
        <v>46776</v>
      </c>
      <c r="BJ6" s="56" t="n">
        <f aca="false">StartDate+(BJ5-1)*7</f>
        <v>46783</v>
      </c>
      <c r="BK6" s="56" t="n">
        <f aca="false">StartDate+(BK5-1)*7</f>
        <v>46790</v>
      </c>
      <c r="BL6" s="56" t="n">
        <f aca="false">StartDate+(BL5-1)*7</f>
        <v>46797</v>
      </c>
      <c r="BM6" s="56" t="n">
        <f aca="false">StartDate+(BM5-1)*7</f>
        <v>46804</v>
      </c>
      <c r="BN6" s="56" t="n">
        <f aca="false">StartDate+(BN5-1)*7</f>
        <v>46811</v>
      </c>
      <c r="BO6" s="56" t="n">
        <f aca="false">StartDate+(BO5-1)*7</f>
        <v>46818</v>
      </c>
      <c r="BP6" s="56" t="n">
        <f aca="false">StartDate+(BP5-1)*7</f>
        <v>46825</v>
      </c>
      <c r="BQ6" s="56" t="n">
        <f aca="false">StartDate+(BQ5-1)*7</f>
        <v>46832</v>
      </c>
      <c r="BR6" s="56" t="n">
        <f aca="false">StartDate+(BR5-1)*7</f>
        <v>46839</v>
      </c>
      <c r="BS6" s="56" t="n">
        <f aca="false">StartDate+(BS5-1)*7</f>
        <v>46846</v>
      </c>
      <c r="BT6" s="56" t="n">
        <f aca="false">StartDate+(BT5-1)*7</f>
        <v>46853</v>
      </c>
      <c r="BU6" s="56" t="n">
        <f aca="false">StartDate+(BU5-1)*7</f>
        <v>46860</v>
      </c>
      <c r="BV6" s="56" t="n">
        <f aca="false">StartDate+(BV5-1)*7</f>
        <v>46867</v>
      </c>
      <c r="BW6" s="56" t="n">
        <f aca="false">StartDate+(BW5-1)*7</f>
        <v>46874</v>
      </c>
      <c r="BX6" s="56" t="n">
        <f aca="false">StartDate+(BX5-1)*7</f>
        <v>46881</v>
      </c>
      <c r="BY6" s="56" t="n">
        <f aca="false">StartDate+(BY5-1)*7</f>
        <v>46888</v>
      </c>
      <c r="BZ6" s="56" t="n">
        <f aca="false">StartDate+(BZ5-1)*7</f>
        <v>46895</v>
      </c>
      <c r="CA6" s="56" t="n">
        <f aca="false">StartDate+(CA5-1)*7</f>
        <v>46902</v>
      </c>
      <c r="CB6" s="56" t="n">
        <f aca="false">StartDate+(CB5-1)*7</f>
        <v>46909</v>
      </c>
      <c r="CC6" s="56" t="n">
        <f aca="false">StartDate+(CC5-1)*7</f>
        <v>46916</v>
      </c>
      <c r="CD6" s="56" t="n">
        <f aca="false">StartDate+(CD5-1)*7</f>
        <v>46923</v>
      </c>
      <c r="CE6" s="56" t="n">
        <f aca="false">StartDate+(CE5-1)*7</f>
        <v>46930</v>
      </c>
      <c r="CF6" s="56" t="n">
        <f aca="false">StartDate+(CF5-1)*7</f>
        <v>46937</v>
      </c>
      <c r="CG6" s="56" t="n">
        <f aca="false">StartDate+(CG5-1)*7</f>
        <v>46944</v>
      </c>
      <c r="CH6" s="56" t="n">
        <f aca="false">StartDate+(CH5-1)*7</f>
        <v>46951</v>
      </c>
      <c r="CI6" s="56" t="n">
        <f aca="false">StartDate+(CI5-1)*7</f>
        <v>46958</v>
      </c>
      <c r="CJ6" s="56" t="n">
        <f aca="false">StartDate+(CJ5-1)*7</f>
        <v>46965</v>
      </c>
      <c r="CK6" s="56" t="n">
        <f aca="false">StartDate+(CK5-1)*7</f>
        <v>46972</v>
      </c>
      <c r="CL6" s="56" t="n">
        <f aca="false">StartDate+(CL5-1)*7</f>
        <v>46979</v>
      </c>
      <c r="CM6" s="56" t="n">
        <f aca="false">StartDate+(CM5-1)*7</f>
        <v>46986</v>
      </c>
      <c r="CN6" s="56" t="n">
        <f aca="false">StartDate+(CN5-1)*7</f>
        <v>46993</v>
      </c>
      <c r="CO6" s="56" t="n">
        <f aca="false">StartDate+(CO5-1)*7</f>
        <v>47000</v>
      </c>
      <c r="CP6" s="56" t="n">
        <f aca="false">StartDate+(CP5-1)*7</f>
        <v>47007</v>
      </c>
      <c r="CQ6" s="56" t="n">
        <f aca="false">StartDate+(CQ5-1)*7</f>
        <v>47014</v>
      </c>
      <c r="CR6" s="56" t="n">
        <f aca="false">StartDate+(CR5-1)*7</f>
        <v>47021</v>
      </c>
      <c r="CS6" s="56" t="n">
        <f aca="false">StartDate+(CS5-1)*7</f>
        <v>47028</v>
      </c>
      <c r="CT6" s="56" t="n">
        <f aca="false">StartDate+(CT5-1)*7</f>
        <v>47035</v>
      </c>
      <c r="CU6" s="56" t="n">
        <f aca="false">StartDate+(CU5-1)*7</f>
        <v>47042</v>
      </c>
      <c r="CV6" s="56" t="n">
        <f aca="false">StartDate+(CV5-1)*7</f>
        <v>47049</v>
      </c>
      <c r="CW6" s="56" t="n">
        <f aca="false">StartDate+(CW5-1)*7</f>
        <v>47056</v>
      </c>
      <c r="CX6" s="56" t="n">
        <f aca="false">StartDate+(CX5-1)*7</f>
        <v>47063</v>
      </c>
      <c r="CY6" s="56" t="n">
        <f aca="false">StartDate+(CY5-1)*7</f>
        <v>47070</v>
      </c>
      <c r="CZ6" s="56" t="n">
        <f aca="false">StartDate+(CZ5-1)*7</f>
        <v>47077</v>
      </c>
      <c r="DA6" s="56" t="n">
        <f aca="false">StartDate+(DA5-1)*7</f>
        <v>47084</v>
      </c>
      <c r="DB6" s="56" t="n">
        <f aca="false">StartDate+(DB5-1)*7</f>
        <v>47091</v>
      </c>
      <c r="DC6" s="56" t="n">
        <f aca="false">StartDate+(DC5-1)*7</f>
        <v>47098</v>
      </c>
      <c r="DD6" s="56" t="n">
        <f aca="false">StartDate+(DD5-1)*7</f>
        <v>47105</v>
      </c>
      <c r="DE6" s="56" t="n">
        <f aca="false">StartDate+(DE5-1)*7</f>
        <v>47112</v>
      </c>
    </row>
    <row r="7" customFormat="false" ht="15" hidden="false" customHeight="false" outlineLevel="0" collapsed="false">
      <c r="A7" s="4" t="s">
        <v>581</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row>
    <row r="8" customFormat="false" ht="15" hidden="false" customHeight="false" outlineLevel="0" collapsed="false">
      <c r="A8" s="9" t="s">
        <v>82</v>
      </c>
      <c r="B8" s="29" t="n">
        <f aca="false">INDEX(PhStart,1)</f>
        <v>1</v>
      </c>
      <c r="C8" s="29" t="n">
        <f aca="false">INDEX(PhEnd,1)</f>
        <v>6</v>
      </c>
      <c r="D8" s="22" t="n">
        <f aca="false">INDEX(PhaseHours,1)</f>
        <v>693</v>
      </c>
      <c r="E8" s="9" t="str">
        <f aca="false">Schedule!E46</f>
        <v>Flat</v>
      </c>
      <c r="F8" s="22" t="n">
        <f aca="false">IF(AND(F$5&gt;=$B8,F$5&lt;=$C8,$C8&gt;=$B8),IF($E8="Ramp",IF(RampWeightSum&gt;0,$D8*F$20/RampWeightSum,0),$D8/($C8-$B8+1)),0)</f>
        <v>115.5</v>
      </c>
      <c r="G8" s="22" t="n">
        <f aca="false">IF(AND(G$5&gt;=$B8,G$5&lt;=$C8,$C8&gt;=$B8),IF($E8="Ramp",IF(RampWeightSum&gt;0,$D8*G$20/RampWeightSum,0),$D8/($C8-$B8+1)),0)</f>
        <v>115.5</v>
      </c>
      <c r="H8" s="22" t="n">
        <f aca="false">IF(AND(H$5&gt;=$B8,H$5&lt;=$C8,$C8&gt;=$B8),IF($E8="Ramp",IF(RampWeightSum&gt;0,$D8*H$20/RampWeightSum,0),$D8/($C8-$B8+1)),0)</f>
        <v>115.5</v>
      </c>
      <c r="I8" s="22" t="n">
        <f aca="false">IF(AND(I$5&gt;=$B8,I$5&lt;=$C8,$C8&gt;=$B8),IF($E8="Ramp",IF(RampWeightSum&gt;0,$D8*I$20/RampWeightSum,0),$D8/($C8-$B8+1)),0)</f>
        <v>115.5</v>
      </c>
      <c r="J8" s="22" t="n">
        <f aca="false">IF(AND(J$5&gt;=$B8,J$5&lt;=$C8,$C8&gt;=$B8),IF($E8="Ramp",IF(RampWeightSum&gt;0,$D8*J$20/RampWeightSum,0),$D8/($C8-$B8+1)),0)</f>
        <v>115.5</v>
      </c>
      <c r="K8" s="22" t="n">
        <f aca="false">IF(AND(K$5&gt;=$B8,K$5&lt;=$C8,$C8&gt;=$B8),IF($E8="Ramp",IF(RampWeightSum&gt;0,$D8*K$20/RampWeightSum,0),$D8/($C8-$B8+1)),0)</f>
        <v>115.5</v>
      </c>
      <c r="L8" s="22" t="n">
        <f aca="false">IF(AND(L$5&gt;=$B8,L$5&lt;=$C8,$C8&gt;=$B8),IF($E8="Ramp",IF(RampWeightSum&gt;0,$D8*L$20/RampWeightSum,0),$D8/($C8-$B8+1)),0)</f>
        <v>0</v>
      </c>
      <c r="M8" s="22" t="n">
        <f aca="false">IF(AND(M$5&gt;=$B8,M$5&lt;=$C8,$C8&gt;=$B8),IF($E8="Ramp",IF(RampWeightSum&gt;0,$D8*M$20/RampWeightSum,0),$D8/($C8-$B8+1)),0)</f>
        <v>0</v>
      </c>
      <c r="N8" s="22" t="n">
        <f aca="false">IF(AND(N$5&gt;=$B8,N$5&lt;=$C8,$C8&gt;=$B8),IF($E8="Ramp",IF(RampWeightSum&gt;0,$D8*N$20/RampWeightSum,0),$D8/($C8-$B8+1)),0)</f>
        <v>0</v>
      </c>
      <c r="O8" s="22" t="n">
        <f aca="false">IF(AND(O$5&gt;=$B8,O$5&lt;=$C8,$C8&gt;=$B8),IF($E8="Ramp",IF(RampWeightSum&gt;0,$D8*O$20/RampWeightSum,0),$D8/($C8-$B8+1)),0)</f>
        <v>0</v>
      </c>
      <c r="P8" s="22" t="n">
        <f aca="false">IF(AND(P$5&gt;=$B8,P$5&lt;=$C8,$C8&gt;=$B8),IF($E8="Ramp",IF(RampWeightSum&gt;0,$D8*P$20/RampWeightSum,0),$D8/($C8-$B8+1)),0)</f>
        <v>0</v>
      </c>
      <c r="Q8" s="22" t="n">
        <f aca="false">IF(AND(Q$5&gt;=$B8,Q$5&lt;=$C8,$C8&gt;=$B8),IF($E8="Ramp",IF(RampWeightSum&gt;0,$D8*Q$20/RampWeightSum,0),$D8/($C8-$B8+1)),0)</f>
        <v>0</v>
      </c>
      <c r="R8" s="22" t="n">
        <f aca="false">IF(AND(R$5&gt;=$B8,R$5&lt;=$C8,$C8&gt;=$B8),IF($E8="Ramp",IF(RampWeightSum&gt;0,$D8*R$20/RampWeightSum,0),$D8/($C8-$B8+1)),0)</f>
        <v>0</v>
      </c>
      <c r="S8" s="22" t="n">
        <f aca="false">IF(AND(S$5&gt;=$B8,S$5&lt;=$C8,$C8&gt;=$B8),IF($E8="Ramp",IF(RampWeightSum&gt;0,$D8*S$20/RampWeightSum,0),$D8/($C8-$B8+1)),0)</f>
        <v>0</v>
      </c>
      <c r="T8" s="22" t="n">
        <f aca="false">IF(AND(T$5&gt;=$B8,T$5&lt;=$C8,$C8&gt;=$B8),IF($E8="Ramp",IF(RampWeightSum&gt;0,$D8*T$20/RampWeightSum,0),$D8/($C8-$B8+1)),0)</f>
        <v>0</v>
      </c>
      <c r="U8" s="22" t="n">
        <f aca="false">IF(AND(U$5&gt;=$B8,U$5&lt;=$C8,$C8&gt;=$B8),IF($E8="Ramp",IF(RampWeightSum&gt;0,$D8*U$20/RampWeightSum,0),$D8/($C8-$B8+1)),0)</f>
        <v>0</v>
      </c>
      <c r="V8" s="22" t="n">
        <f aca="false">IF(AND(V$5&gt;=$B8,V$5&lt;=$C8,$C8&gt;=$B8),IF($E8="Ramp",IF(RampWeightSum&gt;0,$D8*V$20/RampWeightSum,0),$D8/($C8-$B8+1)),0)</f>
        <v>0</v>
      </c>
      <c r="W8" s="22" t="n">
        <f aca="false">IF(AND(W$5&gt;=$B8,W$5&lt;=$C8,$C8&gt;=$B8),IF($E8="Ramp",IF(RampWeightSum&gt;0,$D8*W$20/RampWeightSum,0),$D8/($C8-$B8+1)),0)</f>
        <v>0</v>
      </c>
      <c r="X8" s="22" t="n">
        <f aca="false">IF(AND(X$5&gt;=$B8,X$5&lt;=$C8,$C8&gt;=$B8),IF($E8="Ramp",IF(RampWeightSum&gt;0,$D8*X$20/RampWeightSum,0),$D8/($C8-$B8+1)),0)</f>
        <v>0</v>
      </c>
      <c r="Y8" s="22" t="n">
        <f aca="false">IF(AND(Y$5&gt;=$B8,Y$5&lt;=$C8,$C8&gt;=$B8),IF($E8="Ramp",IF(RampWeightSum&gt;0,$D8*Y$20/RampWeightSum,0),$D8/($C8-$B8+1)),0)</f>
        <v>0</v>
      </c>
      <c r="Z8" s="22" t="n">
        <f aca="false">IF(AND(Z$5&gt;=$B8,Z$5&lt;=$C8,$C8&gt;=$B8),IF($E8="Ramp",IF(RampWeightSum&gt;0,$D8*Z$20/RampWeightSum,0),$D8/($C8-$B8+1)),0)</f>
        <v>0</v>
      </c>
      <c r="AA8" s="22" t="n">
        <f aca="false">IF(AND(AA$5&gt;=$B8,AA$5&lt;=$C8,$C8&gt;=$B8),IF($E8="Ramp",IF(RampWeightSum&gt;0,$D8*AA$20/RampWeightSum,0),$D8/($C8-$B8+1)),0)</f>
        <v>0</v>
      </c>
      <c r="AB8" s="22" t="n">
        <f aca="false">IF(AND(AB$5&gt;=$B8,AB$5&lt;=$C8,$C8&gt;=$B8),IF($E8="Ramp",IF(RampWeightSum&gt;0,$D8*AB$20/RampWeightSum,0),$D8/($C8-$B8+1)),0)</f>
        <v>0</v>
      </c>
      <c r="AC8" s="22" t="n">
        <f aca="false">IF(AND(AC$5&gt;=$B8,AC$5&lt;=$C8,$C8&gt;=$B8),IF($E8="Ramp",IF(RampWeightSum&gt;0,$D8*AC$20/RampWeightSum,0),$D8/($C8-$B8+1)),0)</f>
        <v>0</v>
      </c>
      <c r="AD8" s="22" t="n">
        <f aca="false">IF(AND(AD$5&gt;=$B8,AD$5&lt;=$C8,$C8&gt;=$B8),IF($E8="Ramp",IF(RampWeightSum&gt;0,$D8*AD$20/RampWeightSum,0),$D8/($C8-$B8+1)),0)</f>
        <v>0</v>
      </c>
      <c r="AE8" s="22" t="n">
        <f aca="false">IF(AND(AE$5&gt;=$B8,AE$5&lt;=$C8,$C8&gt;=$B8),IF($E8="Ramp",IF(RampWeightSum&gt;0,$D8*AE$20/RampWeightSum,0),$D8/($C8-$B8+1)),0)</f>
        <v>0</v>
      </c>
      <c r="AF8" s="22" t="n">
        <f aca="false">IF(AND(AF$5&gt;=$B8,AF$5&lt;=$C8,$C8&gt;=$B8),IF($E8="Ramp",IF(RampWeightSum&gt;0,$D8*AF$20/RampWeightSum,0),$D8/($C8-$B8+1)),0)</f>
        <v>0</v>
      </c>
      <c r="AG8" s="22" t="n">
        <f aca="false">IF(AND(AG$5&gt;=$B8,AG$5&lt;=$C8,$C8&gt;=$B8),IF($E8="Ramp",IF(RampWeightSum&gt;0,$D8*AG$20/RampWeightSum,0),$D8/($C8-$B8+1)),0)</f>
        <v>0</v>
      </c>
      <c r="AH8" s="22" t="n">
        <f aca="false">IF(AND(AH$5&gt;=$B8,AH$5&lt;=$C8,$C8&gt;=$B8),IF($E8="Ramp",IF(RampWeightSum&gt;0,$D8*AH$20/RampWeightSum,0),$D8/($C8-$B8+1)),0)</f>
        <v>0</v>
      </c>
      <c r="AI8" s="22" t="n">
        <f aca="false">IF(AND(AI$5&gt;=$B8,AI$5&lt;=$C8,$C8&gt;=$B8),IF($E8="Ramp",IF(RampWeightSum&gt;0,$D8*AI$20/RampWeightSum,0),$D8/($C8-$B8+1)),0)</f>
        <v>0</v>
      </c>
      <c r="AJ8" s="22" t="n">
        <f aca="false">IF(AND(AJ$5&gt;=$B8,AJ$5&lt;=$C8,$C8&gt;=$B8),IF($E8="Ramp",IF(RampWeightSum&gt;0,$D8*AJ$20/RampWeightSum,0),$D8/($C8-$B8+1)),0)</f>
        <v>0</v>
      </c>
      <c r="AK8" s="22" t="n">
        <f aca="false">IF(AND(AK$5&gt;=$B8,AK$5&lt;=$C8,$C8&gt;=$B8),IF($E8="Ramp",IF(RampWeightSum&gt;0,$D8*AK$20/RampWeightSum,0),$D8/($C8-$B8+1)),0)</f>
        <v>0</v>
      </c>
      <c r="AL8" s="22" t="n">
        <f aca="false">IF(AND(AL$5&gt;=$B8,AL$5&lt;=$C8,$C8&gt;=$B8),IF($E8="Ramp",IF(RampWeightSum&gt;0,$D8*AL$20/RampWeightSum,0),$D8/($C8-$B8+1)),0)</f>
        <v>0</v>
      </c>
      <c r="AM8" s="22" t="n">
        <f aca="false">IF(AND(AM$5&gt;=$B8,AM$5&lt;=$C8,$C8&gt;=$B8),IF($E8="Ramp",IF(RampWeightSum&gt;0,$D8*AM$20/RampWeightSum,0),$D8/($C8-$B8+1)),0)</f>
        <v>0</v>
      </c>
      <c r="AN8" s="22" t="n">
        <f aca="false">IF(AND(AN$5&gt;=$B8,AN$5&lt;=$C8,$C8&gt;=$B8),IF($E8="Ramp",IF(RampWeightSum&gt;0,$D8*AN$20/RampWeightSum,0),$D8/($C8-$B8+1)),0)</f>
        <v>0</v>
      </c>
      <c r="AO8" s="22" t="n">
        <f aca="false">IF(AND(AO$5&gt;=$B8,AO$5&lt;=$C8,$C8&gt;=$B8),IF($E8="Ramp",IF(RampWeightSum&gt;0,$D8*AO$20/RampWeightSum,0),$D8/($C8-$B8+1)),0)</f>
        <v>0</v>
      </c>
      <c r="AP8" s="22" t="n">
        <f aca="false">IF(AND(AP$5&gt;=$B8,AP$5&lt;=$C8,$C8&gt;=$B8),IF($E8="Ramp",IF(RampWeightSum&gt;0,$D8*AP$20/RampWeightSum,0),$D8/($C8-$B8+1)),0)</f>
        <v>0</v>
      </c>
      <c r="AQ8" s="22" t="n">
        <f aca="false">IF(AND(AQ$5&gt;=$B8,AQ$5&lt;=$C8,$C8&gt;=$B8),IF($E8="Ramp",IF(RampWeightSum&gt;0,$D8*AQ$20/RampWeightSum,0),$D8/($C8-$B8+1)),0)</f>
        <v>0</v>
      </c>
      <c r="AR8" s="22" t="n">
        <f aca="false">IF(AND(AR$5&gt;=$B8,AR$5&lt;=$C8,$C8&gt;=$B8),IF($E8="Ramp",IF(RampWeightSum&gt;0,$D8*AR$20/RampWeightSum,0),$D8/($C8-$B8+1)),0)</f>
        <v>0</v>
      </c>
      <c r="AS8" s="22" t="n">
        <f aca="false">IF(AND(AS$5&gt;=$B8,AS$5&lt;=$C8,$C8&gt;=$B8),IF($E8="Ramp",IF(RampWeightSum&gt;0,$D8*AS$20/RampWeightSum,0),$D8/($C8-$B8+1)),0)</f>
        <v>0</v>
      </c>
      <c r="AT8" s="22" t="n">
        <f aca="false">IF(AND(AT$5&gt;=$B8,AT$5&lt;=$C8,$C8&gt;=$B8),IF($E8="Ramp",IF(RampWeightSum&gt;0,$D8*AT$20/RampWeightSum,0),$D8/($C8-$B8+1)),0)</f>
        <v>0</v>
      </c>
      <c r="AU8" s="22" t="n">
        <f aca="false">IF(AND(AU$5&gt;=$B8,AU$5&lt;=$C8,$C8&gt;=$B8),IF($E8="Ramp",IF(RampWeightSum&gt;0,$D8*AU$20/RampWeightSum,0),$D8/($C8-$B8+1)),0)</f>
        <v>0</v>
      </c>
      <c r="AV8" s="22" t="n">
        <f aca="false">IF(AND(AV$5&gt;=$B8,AV$5&lt;=$C8,$C8&gt;=$B8),IF($E8="Ramp",IF(RampWeightSum&gt;0,$D8*AV$20/RampWeightSum,0),$D8/($C8-$B8+1)),0)</f>
        <v>0</v>
      </c>
      <c r="AW8" s="22" t="n">
        <f aca="false">IF(AND(AW$5&gt;=$B8,AW$5&lt;=$C8,$C8&gt;=$B8),IF($E8="Ramp",IF(RampWeightSum&gt;0,$D8*AW$20/RampWeightSum,0),$D8/($C8-$B8+1)),0)</f>
        <v>0</v>
      </c>
      <c r="AX8" s="22" t="n">
        <f aca="false">IF(AND(AX$5&gt;=$B8,AX$5&lt;=$C8,$C8&gt;=$B8),IF($E8="Ramp",IF(RampWeightSum&gt;0,$D8*AX$20/RampWeightSum,0),$D8/($C8-$B8+1)),0)</f>
        <v>0</v>
      </c>
      <c r="AY8" s="22" t="n">
        <f aca="false">IF(AND(AY$5&gt;=$B8,AY$5&lt;=$C8,$C8&gt;=$B8),IF($E8="Ramp",IF(RampWeightSum&gt;0,$D8*AY$20/RampWeightSum,0),$D8/($C8-$B8+1)),0)</f>
        <v>0</v>
      </c>
      <c r="AZ8" s="22" t="n">
        <f aca="false">IF(AND(AZ$5&gt;=$B8,AZ$5&lt;=$C8,$C8&gt;=$B8),IF($E8="Ramp",IF(RampWeightSum&gt;0,$D8*AZ$20/RampWeightSum,0),$D8/($C8-$B8+1)),0)</f>
        <v>0</v>
      </c>
      <c r="BA8" s="22" t="n">
        <f aca="false">IF(AND(BA$5&gt;=$B8,BA$5&lt;=$C8,$C8&gt;=$B8),IF($E8="Ramp",IF(RampWeightSum&gt;0,$D8*BA$20/RampWeightSum,0),$D8/($C8-$B8+1)),0)</f>
        <v>0</v>
      </c>
      <c r="BB8" s="22" t="n">
        <f aca="false">IF(AND(BB$5&gt;=$B8,BB$5&lt;=$C8,$C8&gt;=$B8),IF($E8="Ramp",IF(RampWeightSum&gt;0,$D8*BB$20/RampWeightSum,0),$D8/($C8-$B8+1)),0)</f>
        <v>0</v>
      </c>
      <c r="BC8" s="22" t="n">
        <f aca="false">IF(AND(BC$5&gt;=$B8,BC$5&lt;=$C8,$C8&gt;=$B8),IF($E8="Ramp",IF(RampWeightSum&gt;0,$D8*BC$20/RampWeightSum,0),$D8/($C8-$B8+1)),0)</f>
        <v>0</v>
      </c>
      <c r="BD8" s="22" t="n">
        <f aca="false">IF(AND(BD$5&gt;=$B8,BD$5&lt;=$C8,$C8&gt;=$B8),IF($E8="Ramp",IF(RampWeightSum&gt;0,$D8*BD$20/RampWeightSum,0),$D8/($C8-$B8+1)),0)</f>
        <v>0</v>
      </c>
      <c r="BE8" s="22" t="n">
        <f aca="false">IF(AND(BE$5&gt;=$B8,BE$5&lt;=$C8,$C8&gt;=$B8),IF($E8="Ramp",IF(RampWeightSum&gt;0,$D8*BE$20/RampWeightSum,0),$D8/($C8-$B8+1)),0)</f>
        <v>0</v>
      </c>
      <c r="BF8" s="22" t="n">
        <f aca="false">IF(AND(BF$5&gt;=$B8,BF$5&lt;=$C8,$C8&gt;=$B8),IF($E8="Ramp",IF(RampWeightSum&gt;0,$D8*BF$20/RampWeightSum,0),$D8/($C8-$B8+1)),0)</f>
        <v>0</v>
      </c>
      <c r="BG8" s="22" t="n">
        <f aca="false">IF(AND(BG$5&gt;=$B8,BG$5&lt;=$C8,$C8&gt;=$B8),IF($E8="Ramp",IF(RampWeightSum&gt;0,$D8*BG$20/RampWeightSum,0),$D8/($C8-$B8+1)),0)</f>
        <v>0</v>
      </c>
      <c r="BH8" s="22" t="n">
        <f aca="false">IF(AND(BH$5&gt;=$B8,BH$5&lt;=$C8,$C8&gt;=$B8),IF($E8="Ramp",IF(RampWeightSum&gt;0,$D8*BH$20/RampWeightSum,0),$D8/($C8-$B8+1)),0)</f>
        <v>0</v>
      </c>
      <c r="BI8" s="22" t="n">
        <f aca="false">IF(AND(BI$5&gt;=$B8,BI$5&lt;=$C8,$C8&gt;=$B8),IF($E8="Ramp",IF(RampWeightSum&gt;0,$D8*BI$20/RampWeightSum,0),$D8/($C8-$B8+1)),0)</f>
        <v>0</v>
      </c>
      <c r="BJ8" s="22" t="n">
        <f aca="false">IF(AND(BJ$5&gt;=$B8,BJ$5&lt;=$C8,$C8&gt;=$B8),IF($E8="Ramp",IF(RampWeightSum&gt;0,$D8*BJ$20/RampWeightSum,0),$D8/($C8-$B8+1)),0)</f>
        <v>0</v>
      </c>
      <c r="BK8" s="22" t="n">
        <f aca="false">IF(AND(BK$5&gt;=$B8,BK$5&lt;=$C8,$C8&gt;=$B8),IF($E8="Ramp",IF(RampWeightSum&gt;0,$D8*BK$20/RampWeightSum,0),$D8/($C8-$B8+1)),0)</f>
        <v>0</v>
      </c>
      <c r="BL8" s="22" t="n">
        <f aca="false">IF(AND(BL$5&gt;=$B8,BL$5&lt;=$C8,$C8&gt;=$B8),IF($E8="Ramp",IF(RampWeightSum&gt;0,$D8*BL$20/RampWeightSum,0),$D8/($C8-$B8+1)),0)</f>
        <v>0</v>
      </c>
      <c r="BM8" s="22" t="n">
        <f aca="false">IF(AND(BM$5&gt;=$B8,BM$5&lt;=$C8,$C8&gt;=$B8),IF($E8="Ramp",IF(RampWeightSum&gt;0,$D8*BM$20/RampWeightSum,0),$D8/($C8-$B8+1)),0)</f>
        <v>0</v>
      </c>
      <c r="BN8" s="22" t="n">
        <f aca="false">IF(AND(BN$5&gt;=$B8,BN$5&lt;=$C8,$C8&gt;=$B8),IF($E8="Ramp",IF(RampWeightSum&gt;0,$D8*BN$20/RampWeightSum,0),$D8/($C8-$B8+1)),0)</f>
        <v>0</v>
      </c>
      <c r="BO8" s="22" t="n">
        <f aca="false">IF(AND(BO$5&gt;=$B8,BO$5&lt;=$C8,$C8&gt;=$B8),IF($E8="Ramp",IF(RampWeightSum&gt;0,$D8*BO$20/RampWeightSum,0),$D8/($C8-$B8+1)),0)</f>
        <v>0</v>
      </c>
      <c r="BP8" s="22" t="n">
        <f aca="false">IF(AND(BP$5&gt;=$B8,BP$5&lt;=$C8,$C8&gt;=$B8),IF($E8="Ramp",IF(RampWeightSum&gt;0,$D8*BP$20/RampWeightSum,0),$D8/($C8-$B8+1)),0)</f>
        <v>0</v>
      </c>
      <c r="BQ8" s="22" t="n">
        <f aca="false">IF(AND(BQ$5&gt;=$B8,BQ$5&lt;=$C8,$C8&gt;=$B8),IF($E8="Ramp",IF(RampWeightSum&gt;0,$D8*BQ$20/RampWeightSum,0),$D8/($C8-$B8+1)),0)</f>
        <v>0</v>
      </c>
      <c r="BR8" s="22" t="n">
        <f aca="false">IF(AND(BR$5&gt;=$B8,BR$5&lt;=$C8,$C8&gt;=$B8),IF($E8="Ramp",IF(RampWeightSum&gt;0,$D8*BR$20/RampWeightSum,0),$D8/($C8-$B8+1)),0)</f>
        <v>0</v>
      </c>
      <c r="BS8" s="22" t="n">
        <f aca="false">IF(AND(BS$5&gt;=$B8,BS$5&lt;=$C8,$C8&gt;=$B8),IF($E8="Ramp",IF(RampWeightSum&gt;0,$D8*BS$20/RampWeightSum,0),$D8/($C8-$B8+1)),0)</f>
        <v>0</v>
      </c>
      <c r="BT8" s="22" t="n">
        <f aca="false">IF(AND(BT$5&gt;=$B8,BT$5&lt;=$C8,$C8&gt;=$B8),IF($E8="Ramp",IF(RampWeightSum&gt;0,$D8*BT$20/RampWeightSum,0),$D8/($C8-$B8+1)),0)</f>
        <v>0</v>
      </c>
      <c r="BU8" s="22" t="n">
        <f aca="false">IF(AND(BU$5&gt;=$B8,BU$5&lt;=$C8,$C8&gt;=$B8),IF($E8="Ramp",IF(RampWeightSum&gt;0,$D8*BU$20/RampWeightSum,0),$D8/($C8-$B8+1)),0)</f>
        <v>0</v>
      </c>
      <c r="BV8" s="22" t="n">
        <f aca="false">IF(AND(BV$5&gt;=$B8,BV$5&lt;=$C8,$C8&gt;=$B8),IF($E8="Ramp",IF(RampWeightSum&gt;0,$D8*BV$20/RampWeightSum,0),$D8/($C8-$B8+1)),0)</f>
        <v>0</v>
      </c>
      <c r="BW8" s="22" t="n">
        <f aca="false">IF(AND(BW$5&gt;=$B8,BW$5&lt;=$C8,$C8&gt;=$B8),IF($E8="Ramp",IF(RampWeightSum&gt;0,$D8*BW$20/RampWeightSum,0),$D8/($C8-$B8+1)),0)</f>
        <v>0</v>
      </c>
      <c r="BX8" s="22" t="n">
        <f aca="false">IF(AND(BX$5&gt;=$B8,BX$5&lt;=$C8,$C8&gt;=$B8),IF($E8="Ramp",IF(RampWeightSum&gt;0,$D8*BX$20/RampWeightSum,0),$D8/($C8-$B8+1)),0)</f>
        <v>0</v>
      </c>
      <c r="BY8" s="22" t="n">
        <f aca="false">IF(AND(BY$5&gt;=$B8,BY$5&lt;=$C8,$C8&gt;=$B8),IF($E8="Ramp",IF(RampWeightSum&gt;0,$D8*BY$20/RampWeightSum,0),$D8/($C8-$B8+1)),0)</f>
        <v>0</v>
      </c>
      <c r="BZ8" s="22" t="n">
        <f aca="false">IF(AND(BZ$5&gt;=$B8,BZ$5&lt;=$C8,$C8&gt;=$B8),IF($E8="Ramp",IF(RampWeightSum&gt;0,$D8*BZ$20/RampWeightSum,0),$D8/($C8-$B8+1)),0)</f>
        <v>0</v>
      </c>
      <c r="CA8" s="22" t="n">
        <f aca="false">IF(AND(CA$5&gt;=$B8,CA$5&lt;=$C8,$C8&gt;=$B8),IF($E8="Ramp",IF(RampWeightSum&gt;0,$D8*CA$20/RampWeightSum,0),$D8/($C8-$B8+1)),0)</f>
        <v>0</v>
      </c>
      <c r="CB8" s="22" t="n">
        <f aca="false">IF(AND(CB$5&gt;=$B8,CB$5&lt;=$C8,$C8&gt;=$B8),IF($E8="Ramp",IF(RampWeightSum&gt;0,$D8*CB$20/RampWeightSum,0),$D8/($C8-$B8+1)),0)</f>
        <v>0</v>
      </c>
      <c r="CC8" s="22" t="n">
        <f aca="false">IF(AND(CC$5&gt;=$B8,CC$5&lt;=$C8,$C8&gt;=$B8),IF($E8="Ramp",IF(RampWeightSum&gt;0,$D8*CC$20/RampWeightSum,0),$D8/($C8-$B8+1)),0)</f>
        <v>0</v>
      </c>
      <c r="CD8" s="22" t="n">
        <f aca="false">IF(AND(CD$5&gt;=$B8,CD$5&lt;=$C8,$C8&gt;=$B8),IF($E8="Ramp",IF(RampWeightSum&gt;0,$D8*CD$20/RampWeightSum,0),$D8/($C8-$B8+1)),0)</f>
        <v>0</v>
      </c>
      <c r="CE8" s="22" t="n">
        <f aca="false">IF(AND(CE$5&gt;=$B8,CE$5&lt;=$C8,$C8&gt;=$B8),IF($E8="Ramp",IF(RampWeightSum&gt;0,$D8*CE$20/RampWeightSum,0),$D8/($C8-$B8+1)),0)</f>
        <v>0</v>
      </c>
      <c r="CF8" s="22" t="n">
        <f aca="false">IF(AND(CF$5&gt;=$B8,CF$5&lt;=$C8,$C8&gt;=$B8),IF($E8="Ramp",IF(RampWeightSum&gt;0,$D8*CF$20/RampWeightSum,0),$D8/($C8-$B8+1)),0)</f>
        <v>0</v>
      </c>
      <c r="CG8" s="22" t="n">
        <f aca="false">IF(AND(CG$5&gt;=$B8,CG$5&lt;=$C8,$C8&gt;=$B8),IF($E8="Ramp",IF(RampWeightSum&gt;0,$D8*CG$20/RampWeightSum,0),$D8/($C8-$B8+1)),0)</f>
        <v>0</v>
      </c>
      <c r="CH8" s="22" t="n">
        <f aca="false">IF(AND(CH$5&gt;=$B8,CH$5&lt;=$C8,$C8&gt;=$B8),IF($E8="Ramp",IF(RampWeightSum&gt;0,$D8*CH$20/RampWeightSum,0),$D8/($C8-$B8+1)),0)</f>
        <v>0</v>
      </c>
      <c r="CI8" s="22" t="n">
        <f aca="false">IF(AND(CI$5&gt;=$B8,CI$5&lt;=$C8,$C8&gt;=$B8),IF($E8="Ramp",IF(RampWeightSum&gt;0,$D8*CI$20/RampWeightSum,0),$D8/($C8-$B8+1)),0)</f>
        <v>0</v>
      </c>
      <c r="CJ8" s="22" t="n">
        <f aca="false">IF(AND(CJ$5&gt;=$B8,CJ$5&lt;=$C8,$C8&gt;=$B8),IF($E8="Ramp",IF(RampWeightSum&gt;0,$D8*CJ$20/RampWeightSum,0),$D8/($C8-$B8+1)),0)</f>
        <v>0</v>
      </c>
      <c r="CK8" s="22" t="n">
        <f aca="false">IF(AND(CK$5&gt;=$B8,CK$5&lt;=$C8,$C8&gt;=$B8),IF($E8="Ramp",IF(RampWeightSum&gt;0,$D8*CK$20/RampWeightSum,0),$D8/($C8-$B8+1)),0)</f>
        <v>0</v>
      </c>
      <c r="CL8" s="22" t="n">
        <f aca="false">IF(AND(CL$5&gt;=$B8,CL$5&lt;=$C8,$C8&gt;=$B8),IF($E8="Ramp",IF(RampWeightSum&gt;0,$D8*CL$20/RampWeightSum,0),$D8/($C8-$B8+1)),0)</f>
        <v>0</v>
      </c>
      <c r="CM8" s="22" t="n">
        <f aca="false">IF(AND(CM$5&gt;=$B8,CM$5&lt;=$C8,$C8&gt;=$B8),IF($E8="Ramp",IF(RampWeightSum&gt;0,$D8*CM$20/RampWeightSum,0),$D8/($C8-$B8+1)),0)</f>
        <v>0</v>
      </c>
      <c r="CN8" s="22" t="n">
        <f aca="false">IF(AND(CN$5&gt;=$B8,CN$5&lt;=$C8,$C8&gt;=$B8),IF($E8="Ramp",IF(RampWeightSum&gt;0,$D8*CN$20/RampWeightSum,0),$D8/($C8-$B8+1)),0)</f>
        <v>0</v>
      </c>
      <c r="CO8" s="22" t="n">
        <f aca="false">IF(AND(CO$5&gt;=$B8,CO$5&lt;=$C8,$C8&gt;=$B8),IF($E8="Ramp",IF(RampWeightSum&gt;0,$D8*CO$20/RampWeightSum,0),$D8/($C8-$B8+1)),0)</f>
        <v>0</v>
      </c>
      <c r="CP8" s="22" t="n">
        <f aca="false">IF(AND(CP$5&gt;=$B8,CP$5&lt;=$C8,$C8&gt;=$B8),IF($E8="Ramp",IF(RampWeightSum&gt;0,$D8*CP$20/RampWeightSum,0),$D8/($C8-$B8+1)),0)</f>
        <v>0</v>
      </c>
      <c r="CQ8" s="22" t="n">
        <f aca="false">IF(AND(CQ$5&gt;=$B8,CQ$5&lt;=$C8,$C8&gt;=$B8),IF($E8="Ramp",IF(RampWeightSum&gt;0,$D8*CQ$20/RampWeightSum,0),$D8/($C8-$B8+1)),0)</f>
        <v>0</v>
      </c>
      <c r="CR8" s="22" t="n">
        <f aca="false">IF(AND(CR$5&gt;=$B8,CR$5&lt;=$C8,$C8&gt;=$B8),IF($E8="Ramp",IF(RampWeightSum&gt;0,$D8*CR$20/RampWeightSum,0),$D8/($C8-$B8+1)),0)</f>
        <v>0</v>
      </c>
      <c r="CS8" s="22" t="n">
        <f aca="false">IF(AND(CS$5&gt;=$B8,CS$5&lt;=$C8,$C8&gt;=$B8),IF($E8="Ramp",IF(RampWeightSum&gt;0,$D8*CS$20/RampWeightSum,0),$D8/($C8-$B8+1)),0)</f>
        <v>0</v>
      </c>
      <c r="CT8" s="22" t="n">
        <f aca="false">IF(AND(CT$5&gt;=$B8,CT$5&lt;=$C8,$C8&gt;=$B8),IF($E8="Ramp",IF(RampWeightSum&gt;0,$D8*CT$20/RampWeightSum,0),$D8/($C8-$B8+1)),0)</f>
        <v>0</v>
      </c>
      <c r="CU8" s="22" t="n">
        <f aca="false">IF(AND(CU$5&gt;=$B8,CU$5&lt;=$C8,$C8&gt;=$B8),IF($E8="Ramp",IF(RampWeightSum&gt;0,$D8*CU$20/RampWeightSum,0),$D8/($C8-$B8+1)),0)</f>
        <v>0</v>
      </c>
      <c r="CV8" s="22" t="n">
        <f aca="false">IF(AND(CV$5&gt;=$B8,CV$5&lt;=$C8,$C8&gt;=$B8),IF($E8="Ramp",IF(RampWeightSum&gt;0,$D8*CV$20/RampWeightSum,0),$D8/($C8-$B8+1)),0)</f>
        <v>0</v>
      </c>
      <c r="CW8" s="22" t="n">
        <f aca="false">IF(AND(CW$5&gt;=$B8,CW$5&lt;=$C8,$C8&gt;=$B8),IF($E8="Ramp",IF(RampWeightSum&gt;0,$D8*CW$20/RampWeightSum,0),$D8/($C8-$B8+1)),0)</f>
        <v>0</v>
      </c>
      <c r="CX8" s="22" t="n">
        <f aca="false">IF(AND(CX$5&gt;=$B8,CX$5&lt;=$C8,$C8&gt;=$B8),IF($E8="Ramp",IF(RampWeightSum&gt;0,$D8*CX$20/RampWeightSum,0),$D8/($C8-$B8+1)),0)</f>
        <v>0</v>
      </c>
      <c r="CY8" s="22" t="n">
        <f aca="false">IF(AND(CY$5&gt;=$B8,CY$5&lt;=$C8,$C8&gt;=$B8),IF($E8="Ramp",IF(RampWeightSum&gt;0,$D8*CY$20/RampWeightSum,0),$D8/($C8-$B8+1)),0)</f>
        <v>0</v>
      </c>
      <c r="CZ8" s="22" t="n">
        <f aca="false">IF(AND(CZ$5&gt;=$B8,CZ$5&lt;=$C8,$C8&gt;=$B8),IF($E8="Ramp",IF(RampWeightSum&gt;0,$D8*CZ$20/RampWeightSum,0),$D8/($C8-$B8+1)),0)</f>
        <v>0</v>
      </c>
      <c r="DA8" s="22" t="n">
        <f aca="false">IF(AND(DA$5&gt;=$B8,DA$5&lt;=$C8,$C8&gt;=$B8),IF($E8="Ramp",IF(RampWeightSum&gt;0,$D8*DA$20/RampWeightSum,0),$D8/($C8-$B8+1)),0)</f>
        <v>0</v>
      </c>
      <c r="DB8" s="22" t="n">
        <f aca="false">IF(AND(DB$5&gt;=$B8,DB$5&lt;=$C8,$C8&gt;=$B8),IF($E8="Ramp",IF(RampWeightSum&gt;0,$D8*DB$20/RampWeightSum,0),$D8/($C8-$B8+1)),0)</f>
        <v>0</v>
      </c>
      <c r="DC8" s="22" t="n">
        <f aca="false">IF(AND(DC$5&gt;=$B8,DC$5&lt;=$C8,$C8&gt;=$B8),IF($E8="Ramp",IF(RampWeightSum&gt;0,$D8*DC$20/RampWeightSum,0),$D8/($C8-$B8+1)),0)</f>
        <v>0</v>
      </c>
      <c r="DD8" s="22" t="n">
        <f aca="false">IF(AND(DD$5&gt;=$B8,DD$5&lt;=$C8,$C8&gt;=$B8),IF($E8="Ramp",IF(RampWeightSum&gt;0,$D8*DD$20/RampWeightSum,0),$D8/($C8-$B8+1)),0)</f>
        <v>0</v>
      </c>
      <c r="DE8" s="22" t="n">
        <f aca="false">IF(AND(DE$5&gt;=$B8,DE$5&lt;=$C8,$C8&gt;=$B8),IF($E8="Ramp",IF(RampWeightSum&gt;0,$D8*DE$20/RampWeightSum,0),$D8/($C8-$B8+1)),0)</f>
        <v>0</v>
      </c>
    </row>
    <row r="9" customFormat="false" ht="15" hidden="false" customHeight="false" outlineLevel="0" collapsed="false">
      <c r="A9" s="9" t="s">
        <v>83</v>
      </c>
      <c r="B9" s="29" t="n">
        <f aca="false">INDEX(PhStart,2)</f>
        <v>4</v>
      </c>
      <c r="C9" s="29" t="n">
        <f aca="false">INDEX(PhEnd,2)</f>
        <v>5</v>
      </c>
      <c r="D9" s="22" t="n">
        <f aca="false">INDEX(PhaseHours,2)</f>
        <v>128</v>
      </c>
      <c r="E9" s="9" t="str">
        <f aca="false">Schedule!E47</f>
        <v>Flat</v>
      </c>
      <c r="F9" s="22" t="n">
        <f aca="false">IF(AND(F$5&gt;=$B9,F$5&lt;=$C9,$C9&gt;=$B9),IF($E9="Ramp",IF(RampWeightSum&gt;0,$D9*F$20/RampWeightSum,0),$D9/($C9-$B9+1)),0)</f>
        <v>0</v>
      </c>
      <c r="G9" s="22" t="n">
        <f aca="false">IF(AND(G$5&gt;=$B9,G$5&lt;=$C9,$C9&gt;=$B9),IF($E9="Ramp",IF(RampWeightSum&gt;0,$D9*G$20/RampWeightSum,0),$D9/($C9-$B9+1)),0)</f>
        <v>0</v>
      </c>
      <c r="H9" s="22" t="n">
        <f aca="false">IF(AND(H$5&gt;=$B9,H$5&lt;=$C9,$C9&gt;=$B9),IF($E9="Ramp",IF(RampWeightSum&gt;0,$D9*H$20/RampWeightSum,0),$D9/($C9-$B9+1)),0)</f>
        <v>0</v>
      </c>
      <c r="I9" s="22" t="n">
        <f aca="false">IF(AND(I$5&gt;=$B9,I$5&lt;=$C9,$C9&gt;=$B9),IF($E9="Ramp",IF(RampWeightSum&gt;0,$D9*I$20/RampWeightSum,0),$D9/($C9-$B9+1)),0)</f>
        <v>64</v>
      </c>
      <c r="J9" s="22" t="n">
        <f aca="false">IF(AND(J$5&gt;=$B9,J$5&lt;=$C9,$C9&gt;=$B9),IF($E9="Ramp",IF(RampWeightSum&gt;0,$D9*J$20/RampWeightSum,0),$D9/($C9-$B9+1)),0)</f>
        <v>64</v>
      </c>
      <c r="K9" s="22" t="n">
        <f aca="false">IF(AND(K$5&gt;=$B9,K$5&lt;=$C9,$C9&gt;=$B9),IF($E9="Ramp",IF(RampWeightSum&gt;0,$D9*K$20/RampWeightSum,0),$D9/($C9-$B9+1)),0)</f>
        <v>0</v>
      </c>
      <c r="L9" s="22" t="n">
        <f aca="false">IF(AND(L$5&gt;=$B9,L$5&lt;=$C9,$C9&gt;=$B9),IF($E9="Ramp",IF(RampWeightSum&gt;0,$D9*L$20/RampWeightSum,0),$D9/($C9-$B9+1)),0)</f>
        <v>0</v>
      </c>
      <c r="M9" s="22" t="n">
        <f aca="false">IF(AND(M$5&gt;=$B9,M$5&lt;=$C9,$C9&gt;=$B9),IF($E9="Ramp",IF(RampWeightSum&gt;0,$D9*M$20/RampWeightSum,0),$D9/($C9-$B9+1)),0)</f>
        <v>0</v>
      </c>
      <c r="N9" s="22" t="n">
        <f aca="false">IF(AND(N$5&gt;=$B9,N$5&lt;=$C9,$C9&gt;=$B9),IF($E9="Ramp",IF(RampWeightSum&gt;0,$D9*N$20/RampWeightSum,0),$D9/($C9-$B9+1)),0)</f>
        <v>0</v>
      </c>
      <c r="O9" s="22" t="n">
        <f aca="false">IF(AND(O$5&gt;=$B9,O$5&lt;=$C9,$C9&gt;=$B9),IF($E9="Ramp",IF(RampWeightSum&gt;0,$D9*O$20/RampWeightSum,0),$D9/($C9-$B9+1)),0)</f>
        <v>0</v>
      </c>
      <c r="P9" s="22" t="n">
        <f aca="false">IF(AND(P$5&gt;=$B9,P$5&lt;=$C9,$C9&gt;=$B9),IF($E9="Ramp",IF(RampWeightSum&gt;0,$D9*P$20/RampWeightSum,0),$D9/($C9-$B9+1)),0)</f>
        <v>0</v>
      </c>
      <c r="Q9" s="22" t="n">
        <f aca="false">IF(AND(Q$5&gt;=$B9,Q$5&lt;=$C9,$C9&gt;=$B9),IF($E9="Ramp",IF(RampWeightSum&gt;0,$D9*Q$20/RampWeightSum,0),$D9/($C9-$B9+1)),0)</f>
        <v>0</v>
      </c>
      <c r="R9" s="22" t="n">
        <f aca="false">IF(AND(R$5&gt;=$B9,R$5&lt;=$C9,$C9&gt;=$B9),IF($E9="Ramp",IF(RampWeightSum&gt;0,$D9*R$20/RampWeightSum,0),$D9/($C9-$B9+1)),0)</f>
        <v>0</v>
      </c>
      <c r="S9" s="22" t="n">
        <f aca="false">IF(AND(S$5&gt;=$B9,S$5&lt;=$C9,$C9&gt;=$B9),IF($E9="Ramp",IF(RampWeightSum&gt;0,$D9*S$20/RampWeightSum,0),$D9/($C9-$B9+1)),0)</f>
        <v>0</v>
      </c>
      <c r="T9" s="22" t="n">
        <f aca="false">IF(AND(T$5&gt;=$B9,T$5&lt;=$C9,$C9&gt;=$B9),IF($E9="Ramp",IF(RampWeightSum&gt;0,$D9*T$20/RampWeightSum,0),$D9/($C9-$B9+1)),0)</f>
        <v>0</v>
      </c>
      <c r="U9" s="22" t="n">
        <f aca="false">IF(AND(U$5&gt;=$B9,U$5&lt;=$C9,$C9&gt;=$B9),IF($E9="Ramp",IF(RampWeightSum&gt;0,$D9*U$20/RampWeightSum,0),$D9/($C9-$B9+1)),0)</f>
        <v>0</v>
      </c>
      <c r="V9" s="22" t="n">
        <f aca="false">IF(AND(V$5&gt;=$B9,V$5&lt;=$C9,$C9&gt;=$B9),IF($E9="Ramp",IF(RampWeightSum&gt;0,$D9*V$20/RampWeightSum,0),$D9/($C9-$B9+1)),0)</f>
        <v>0</v>
      </c>
      <c r="W9" s="22" t="n">
        <f aca="false">IF(AND(W$5&gt;=$B9,W$5&lt;=$C9,$C9&gt;=$B9),IF($E9="Ramp",IF(RampWeightSum&gt;0,$D9*W$20/RampWeightSum,0),$D9/($C9-$B9+1)),0)</f>
        <v>0</v>
      </c>
      <c r="X9" s="22" t="n">
        <f aca="false">IF(AND(X$5&gt;=$B9,X$5&lt;=$C9,$C9&gt;=$B9),IF($E9="Ramp",IF(RampWeightSum&gt;0,$D9*X$20/RampWeightSum,0),$D9/($C9-$B9+1)),0)</f>
        <v>0</v>
      </c>
      <c r="Y9" s="22" t="n">
        <f aca="false">IF(AND(Y$5&gt;=$B9,Y$5&lt;=$C9,$C9&gt;=$B9),IF($E9="Ramp",IF(RampWeightSum&gt;0,$D9*Y$20/RampWeightSum,0),$D9/($C9-$B9+1)),0)</f>
        <v>0</v>
      </c>
      <c r="Z9" s="22" t="n">
        <f aca="false">IF(AND(Z$5&gt;=$B9,Z$5&lt;=$C9,$C9&gt;=$B9),IF($E9="Ramp",IF(RampWeightSum&gt;0,$D9*Z$20/RampWeightSum,0),$D9/($C9-$B9+1)),0)</f>
        <v>0</v>
      </c>
      <c r="AA9" s="22" t="n">
        <f aca="false">IF(AND(AA$5&gt;=$B9,AA$5&lt;=$C9,$C9&gt;=$B9),IF($E9="Ramp",IF(RampWeightSum&gt;0,$D9*AA$20/RampWeightSum,0),$D9/($C9-$B9+1)),0)</f>
        <v>0</v>
      </c>
      <c r="AB9" s="22" t="n">
        <f aca="false">IF(AND(AB$5&gt;=$B9,AB$5&lt;=$C9,$C9&gt;=$B9),IF($E9="Ramp",IF(RampWeightSum&gt;0,$D9*AB$20/RampWeightSum,0),$D9/($C9-$B9+1)),0)</f>
        <v>0</v>
      </c>
      <c r="AC9" s="22" t="n">
        <f aca="false">IF(AND(AC$5&gt;=$B9,AC$5&lt;=$C9,$C9&gt;=$B9),IF($E9="Ramp",IF(RampWeightSum&gt;0,$D9*AC$20/RampWeightSum,0),$D9/($C9-$B9+1)),0)</f>
        <v>0</v>
      </c>
      <c r="AD9" s="22" t="n">
        <f aca="false">IF(AND(AD$5&gt;=$B9,AD$5&lt;=$C9,$C9&gt;=$B9),IF($E9="Ramp",IF(RampWeightSum&gt;0,$D9*AD$20/RampWeightSum,0),$D9/($C9-$B9+1)),0)</f>
        <v>0</v>
      </c>
      <c r="AE9" s="22" t="n">
        <f aca="false">IF(AND(AE$5&gt;=$B9,AE$5&lt;=$C9,$C9&gt;=$B9),IF($E9="Ramp",IF(RampWeightSum&gt;0,$D9*AE$20/RampWeightSum,0),$D9/($C9-$B9+1)),0)</f>
        <v>0</v>
      </c>
      <c r="AF9" s="22" t="n">
        <f aca="false">IF(AND(AF$5&gt;=$B9,AF$5&lt;=$C9,$C9&gt;=$B9),IF($E9="Ramp",IF(RampWeightSum&gt;0,$D9*AF$20/RampWeightSum,0),$D9/($C9-$B9+1)),0)</f>
        <v>0</v>
      </c>
      <c r="AG9" s="22" t="n">
        <f aca="false">IF(AND(AG$5&gt;=$B9,AG$5&lt;=$C9,$C9&gt;=$B9),IF($E9="Ramp",IF(RampWeightSum&gt;0,$D9*AG$20/RampWeightSum,0),$D9/($C9-$B9+1)),0)</f>
        <v>0</v>
      </c>
      <c r="AH9" s="22" t="n">
        <f aca="false">IF(AND(AH$5&gt;=$B9,AH$5&lt;=$C9,$C9&gt;=$B9),IF($E9="Ramp",IF(RampWeightSum&gt;0,$D9*AH$20/RampWeightSum,0),$D9/($C9-$B9+1)),0)</f>
        <v>0</v>
      </c>
      <c r="AI9" s="22" t="n">
        <f aca="false">IF(AND(AI$5&gt;=$B9,AI$5&lt;=$C9,$C9&gt;=$B9),IF($E9="Ramp",IF(RampWeightSum&gt;0,$D9*AI$20/RampWeightSum,0),$D9/($C9-$B9+1)),0)</f>
        <v>0</v>
      </c>
      <c r="AJ9" s="22" t="n">
        <f aca="false">IF(AND(AJ$5&gt;=$B9,AJ$5&lt;=$C9,$C9&gt;=$B9),IF($E9="Ramp",IF(RampWeightSum&gt;0,$D9*AJ$20/RampWeightSum,0),$D9/($C9-$B9+1)),0)</f>
        <v>0</v>
      </c>
      <c r="AK9" s="22" t="n">
        <f aca="false">IF(AND(AK$5&gt;=$B9,AK$5&lt;=$C9,$C9&gt;=$B9),IF($E9="Ramp",IF(RampWeightSum&gt;0,$D9*AK$20/RampWeightSum,0),$D9/($C9-$B9+1)),0)</f>
        <v>0</v>
      </c>
      <c r="AL9" s="22" t="n">
        <f aca="false">IF(AND(AL$5&gt;=$B9,AL$5&lt;=$C9,$C9&gt;=$B9),IF($E9="Ramp",IF(RampWeightSum&gt;0,$D9*AL$20/RampWeightSum,0),$D9/($C9-$B9+1)),0)</f>
        <v>0</v>
      </c>
      <c r="AM9" s="22" t="n">
        <f aca="false">IF(AND(AM$5&gt;=$B9,AM$5&lt;=$C9,$C9&gt;=$B9),IF($E9="Ramp",IF(RampWeightSum&gt;0,$D9*AM$20/RampWeightSum,0),$D9/($C9-$B9+1)),0)</f>
        <v>0</v>
      </c>
      <c r="AN9" s="22" t="n">
        <f aca="false">IF(AND(AN$5&gt;=$B9,AN$5&lt;=$C9,$C9&gt;=$B9),IF($E9="Ramp",IF(RampWeightSum&gt;0,$D9*AN$20/RampWeightSum,0),$D9/($C9-$B9+1)),0)</f>
        <v>0</v>
      </c>
      <c r="AO9" s="22" t="n">
        <f aca="false">IF(AND(AO$5&gt;=$B9,AO$5&lt;=$C9,$C9&gt;=$B9),IF($E9="Ramp",IF(RampWeightSum&gt;0,$D9*AO$20/RampWeightSum,0),$D9/($C9-$B9+1)),0)</f>
        <v>0</v>
      </c>
      <c r="AP9" s="22" t="n">
        <f aca="false">IF(AND(AP$5&gt;=$B9,AP$5&lt;=$C9,$C9&gt;=$B9),IF($E9="Ramp",IF(RampWeightSum&gt;0,$D9*AP$20/RampWeightSum,0),$D9/($C9-$B9+1)),0)</f>
        <v>0</v>
      </c>
      <c r="AQ9" s="22" t="n">
        <f aca="false">IF(AND(AQ$5&gt;=$B9,AQ$5&lt;=$C9,$C9&gt;=$B9),IF($E9="Ramp",IF(RampWeightSum&gt;0,$D9*AQ$20/RampWeightSum,0),$D9/($C9-$B9+1)),0)</f>
        <v>0</v>
      </c>
      <c r="AR9" s="22" t="n">
        <f aca="false">IF(AND(AR$5&gt;=$B9,AR$5&lt;=$C9,$C9&gt;=$B9),IF($E9="Ramp",IF(RampWeightSum&gt;0,$D9*AR$20/RampWeightSum,0),$D9/($C9-$B9+1)),0)</f>
        <v>0</v>
      </c>
      <c r="AS9" s="22" t="n">
        <f aca="false">IF(AND(AS$5&gt;=$B9,AS$5&lt;=$C9,$C9&gt;=$B9),IF($E9="Ramp",IF(RampWeightSum&gt;0,$D9*AS$20/RampWeightSum,0),$D9/($C9-$B9+1)),0)</f>
        <v>0</v>
      </c>
      <c r="AT9" s="22" t="n">
        <f aca="false">IF(AND(AT$5&gt;=$B9,AT$5&lt;=$C9,$C9&gt;=$B9),IF($E9="Ramp",IF(RampWeightSum&gt;0,$D9*AT$20/RampWeightSum,0),$D9/($C9-$B9+1)),0)</f>
        <v>0</v>
      </c>
      <c r="AU9" s="22" t="n">
        <f aca="false">IF(AND(AU$5&gt;=$B9,AU$5&lt;=$C9,$C9&gt;=$B9),IF($E9="Ramp",IF(RampWeightSum&gt;0,$D9*AU$20/RampWeightSum,0),$D9/($C9-$B9+1)),0)</f>
        <v>0</v>
      </c>
      <c r="AV9" s="22" t="n">
        <f aca="false">IF(AND(AV$5&gt;=$B9,AV$5&lt;=$C9,$C9&gt;=$B9),IF($E9="Ramp",IF(RampWeightSum&gt;0,$D9*AV$20/RampWeightSum,0),$D9/($C9-$B9+1)),0)</f>
        <v>0</v>
      </c>
      <c r="AW9" s="22" t="n">
        <f aca="false">IF(AND(AW$5&gt;=$B9,AW$5&lt;=$C9,$C9&gt;=$B9),IF($E9="Ramp",IF(RampWeightSum&gt;0,$D9*AW$20/RampWeightSum,0),$D9/($C9-$B9+1)),0)</f>
        <v>0</v>
      </c>
      <c r="AX9" s="22" t="n">
        <f aca="false">IF(AND(AX$5&gt;=$B9,AX$5&lt;=$C9,$C9&gt;=$B9),IF($E9="Ramp",IF(RampWeightSum&gt;0,$D9*AX$20/RampWeightSum,0),$D9/($C9-$B9+1)),0)</f>
        <v>0</v>
      </c>
      <c r="AY9" s="22" t="n">
        <f aca="false">IF(AND(AY$5&gt;=$B9,AY$5&lt;=$C9,$C9&gt;=$B9),IF($E9="Ramp",IF(RampWeightSum&gt;0,$D9*AY$20/RampWeightSum,0),$D9/($C9-$B9+1)),0)</f>
        <v>0</v>
      </c>
      <c r="AZ9" s="22" t="n">
        <f aca="false">IF(AND(AZ$5&gt;=$B9,AZ$5&lt;=$C9,$C9&gt;=$B9),IF($E9="Ramp",IF(RampWeightSum&gt;0,$D9*AZ$20/RampWeightSum,0),$D9/($C9-$B9+1)),0)</f>
        <v>0</v>
      </c>
      <c r="BA9" s="22" t="n">
        <f aca="false">IF(AND(BA$5&gt;=$B9,BA$5&lt;=$C9,$C9&gt;=$B9),IF($E9="Ramp",IF(RampWeightSum&gt;0,$D9*BA$20/RampWeightSum,0),$D9/($C9-$B9+1)),0)</f>
        <v>0</v>
      </c>
      <c r="BB9" s="22" t="n">
        <f aca="false">IF(AND(BB$5&gt;=$B9,BB$5&lt;=$C9,$C9&gt;=$B9),IF($E9="Ramp",IF(RampWeightSum&gt;0,$D9*BB$20/RampWeightSum,0),$D9/($C9-$B9+1)),0)</f>
        <v>0</v>
      </c>
      <c r="BC9" s="22" t="n">
        <f aca="false">IF(AND(BC$5&gt;=$B9,BC$5&lt;=$C9,$C9&gt;=$B9),IF($E9="Ramp",IF(RampWeightSum&gt;0,$D9*BC$20/RampWeightSum,0),$D9/($C9-$B9+1)),0)</f>
        <v>0</v>
      </c>
      <c r="BD9" s="22" t="n">
        <f aca="false">IF(AND(BD$5&gt;=$B9,BD$5&lt;=$C9,$C9&gt;=$B9),IF($E9="Ramp",IF(RampWeightSum&gt;0,$D9*BD$20/RampWeightSum,0),$D9/($C9-$B9+1)),0)</f>
        <v>0</v>
      </c>
      <c r="BE9" s="22" t="n">
        <f aca="false">IF(AND(BE$5&gt;=$B9,BE$5&lt;=$C9,$C9&gt;=$B9),IF($E9="Ramp",IF(RampWeightSum&gt;0,$D9*BE$20/RampWeightSum,0),$D9/($C9-$B9+1)),0)</f>
        <v>0</v>
      </c>
      <c r="BF9" s="22" t="n">
        <f aca="false">IF(AND(BF$5&gt;=$B9,BF$5&lt;=$C9,$C9&gt;=$B9),IF($E9="Ramp",IF(RampWeightSum&gt;0,$D9*BF$20/RampWeightSum,0),$D9/($C9-$B9+1)),0)</f>
        <v>0</v>
      </c>
      <c r="BG9" s="22" t="n">
        <f aca="false">IF(AND(BG$5&gt;=$B9,BG$5&lt;=$C9,$C9&gt;=$B9),IF($E9="Ramp",IF(RampWeightSum&gt;0,$D9*BG$20/RampWeightSum,0),$D9/($C9-$B9+1)),0)</f>
        <v>0</v>
      </c>
      <c r="BH9" s="22" t="n">
        <f aca="false">IF(AND(BH$5&gt;=$B9,BH$5&lt;=$C9,$C9&gt;=$B9),IF($E9="Ramp",IF(RampWeightSum&gt;0,$D9*BH$20/RampWeightSum,0),$D9/($C9-$B9+1)),0)</f>
        <v>0</v>
      </c>
      <c r="BI9" s="22" t="n">
        <f aca="false">IF(AND(BI$5&gt;=$B9,BI$5&lt;=$C9,$C9&gt;=$B9),IF($E9="Ramp",IF(RampWeightSum&gt;0,$D9*BI$20/RampWeightSum,0),$D9/($C9-$B9+1)),0)</f>
        <v>0</v>
      </c>
      <c r="BJ9" s="22" t="n">
        <f aca="false">IF(AND(BJ$5&gt;=$B9,BJ$5&lt;=$C9,$C9&gt;=$B9),IF($E9="Ramp",IF(RampWeightSum&gt;0,$D9*BJ$20/RampWeightSum,0),$D9/($C9-$B9+1)),0)</f>
        <v>0</v>
      </c>
      <c r="BK9" s="22" t="n">
        <f aca="false">IF(AND(BK$5&gt;=$B9,BK$5&lt;=$C9,$C9&gt;=$B9),IF($E9="Ramp",IF(RampWeightSum&gt;0,$D9*BK$20/RampWeightSum,0),$D9/($C9-$B9+1)),0)</f>
        <v>0</v>
      </c>
      <c r="BL9" s="22" t="n">
        <f aca="false">IF(AND(BL$5&gt;=$B9,BL$5&lt;=$C9,$C9&gt;=$B9),IF($E9="Ramp",IF(RampWeightSum&gt;0,$D9*BL$20/RampWeightSum,0),$D9/($C9-$B9+1)),0)</f>
        <v>0</v>
      </c>
      <c r="BM9" s="22" t="n">
        <f aca="false">IF(AND(BM$5&gt;=$B9,BM$5&lt;=$C9,$C9&gt;=$B9),IF($E9="Ramp",IF(RampWeightSum&gt;0,$D9*BM$20/RampWeightSum,0),$D9/($C9-$B9+1)),0)</f>
        <v>0</v>
      </c>
      <c r="BN9" s="22" t="n">
        <f aca="false">IF(AND(BN$5&gt;=$B9,BN$5&lt;=$C9,$C9&gt;=$B9),IF($E9="Ramp",IF(RampWeightSum&gt;0,$D9*BN$20/RampWeightSum,0),$D9/($C9-$B9+1)),0)</f>
        <v>0</v>
      </c>
      <c r="BO9" s="22" t="n">
        <f aca="false">IF(AND(BO$5&gt;=$B9,BO$5&lt;=$C9,$C9&gt;=$B9),IF($E9="Ramp",IF(RampWeightSum&gt;0,$D9*BO$20/RampWeightSum,0),$D9/($C9-$B9+1)),0)</f>
        <v>0</v>
      </c>
      <c r="BP9" s="22" t="n">
        <f aca="false">IF(AND(BP$5&gt;=$B9,BP$5&lt;=$C9,$C9&gt;=$B9),IF($E9="Ramp",IF(RampWeightSum&gt;0,$D9*BP$20/RampWeightSum,0),$D9/($C9-$B9+1)),0)</f>
        <v>0</v>
      </c>
      <c r="BQ9" s="22" t="n">
        <f aca="false">IF(AND(BQ$5&gt;=$B9,BQ$5&lt;=$C9,$C9&gt;=$B9),IF($E9="Ramp",IF(RampWeightSum&gt;0,$D9*BQ$20/RampWeightSum,0),$D9/($C9-$B9+1)),0)</f>
        <v>0</v>
      </c>
      <c r="BR9" s="22" t="n">
        <f aca="false">IF(AND(BR$5&gt;=$B9,BR$5&lt;=$C9,$C9&gt;=$B9),IF($E9="Ramp",IF(RampWeightSum&gt;0,$D9*BR$20/RampWeightSum,0),$D9/($C9-$B9+1)),0)</f>
        <v>0</v>
      </c>
      <c r="BS9" s="22" t="n">
        <f aca="false">IF(AND(BS$5&gt;=$B9,BS$5&lt;=$C9,$C9&gt;=$B9),IF($E9="Ramp",IF(RampWeightSum&gt;0,$D9*BS$20/RampWeightSum,0),$D9/($C9-$B9+1)),0)</f>
        <v>0</v>
      </c>
      <c r="BT9" s="22" t="n">
        <f aca="false">IF(AND(BT$5&gt;=$B9,BT$5&lt;=$C9,$C9&gt;=$B9),IF($E9="Ramp",IF(RampWeightSum&gt;0,$D9*BT$20/RampWeightSum,0),$D9/($C9-$B9+1)),0)</f>
        <v>0</v>
      </c>
      <c r="BU9" s="22" t="n">
        <f aca="false">IF(AND(BU$5&gt;=$B9,BU$5&lt;=$C9,$C9&gt;=$B9),IF($E9="Ramp",IF(RampWeightSum&gt;0,$D9*BU$20/RampWeightSum,0),$D9/($C9-$B9+1)),0)</f>
        <v>0</v>
      </c>
      <c r="BV9" s="22" t="n">
        <f aca="false">IF(AND(BV$5&gt;=$B9,BV$5&lt;=$C9,$C9&gt;=$B9),IF($E9="Ramp",IF(RampWeightSum&gt;0,$D9*BV$20/RampWeightSum,0),$D9/($C9-$B9+1)),0)</f>
        <v>0</v>
      </c>
      <c r="BW9" s="22" t="n">
        <f aca="false">IF(AND(BW$5&gt;=$B9,BW$5&lt;=$C9,$C9&gt;=$B9),IF($E9="Ramp",IF(RampWeightSum&gt;0,$D9*BW$20/RampWeightSum,0),$D9/($C9-$B9+1)),0)</f>
        <v>0</v>
      </c>
      <c r="BX9" s="22" t="n">
        <f aca="false">IF(AND(BX$5&gt;=$B9,BX$5&lt;=$C9,$C9&gt;=$B9),IF($E9="Ramp",IF(RampWeightSum&gt;0,$D9*BX$20/RampWeightSum,0),$D9/($C9-$B9+1)),0)</f>
        <v>0</v>
      </c>
      <c r="BY9" s="22" t="n">
        <f aca="false">IF(AND(BY$5&gt;=$B9,BY$5&lt;=$C9,$C9&gt;=$B9),IF($E9="Ramp",IF(RampWeightSum&gt;0,$D9*BY$20/RampWeightSum,0),$D9/($C9-$B9+1)),0)</f>
        <v>0</v>
      </c>
      <c r="BZ9" s="22" t="n">
        <f aca="false">IF(AND(BZ$5&gt;=$B9,BZ$5&lt;=$C9,$C9&gt;=$B9),IF($E9="Ramp",IF(RampWeightSum&gt;0,$D9*BZ$20/RampWeightSum,0),$D9/($C9-$B9+1)),0)</f>
        <v>0</v>
      </c>
      <c r="CA9" s="22" t="n">
        <f aca="false">IF(AND(CA$5&gt;=$B9,CA$5&lt;=$C9,$C9&gt;=$B9),IF($E9="Ramp",IF(RampWeightSum&gt;0,$D9*CA$20/RampWeightSum,0),$D9/($C9-$B9+1)),0)</f>
        <v>0</v>
      </c>
      <c r="CB9" s="22" t="n">
        <f aca="false">IF(AND(CB$5&gt;=$B9,CB$5&lt;=$C9,$C9&gt;=$B9),IF($E9="Ramp",IF(RampWeightSum&gt;0,$D9*CB$20/RampWeightSum,0),$D9/($C9-$B9+1)),0)</f>
        <v>0</v>
      </c>
      <c r="CC9" s="22" t="n">
        <f aca="false">IF(AND(CC$5&gt;=$B9,CC$5&lt;=$C9,$C9&gt;=$B9),IF($E9="Ramp",IF(RampWeightSum&gt;0,$D9*CC$20/RampWeightSum,0),$D9/($C9-$B9+1)),0)</f>
        <v>0</v>
      </c>
      <c r="CD9" s="22" t="n">
        <f aca="false">IF(AND(CD$5&gt;=$B9,CD$5&lt;=$C9,$C9&gt;=$B9),IF($E9="Ramp",IF(RampWeightSum&gt;0,$D9*CD$20/RampWeightSum,0),$D9/($C9-$B9+1)),0)</f>
        <v>0</v>
      </c>
      <c r="CE9" s="22" t="n">
        <f aca="false">IF(AND(CE$5&gt;=$B9,CE$5&lt;=$C9,$C9&gt;=$B9),IF($E9="Ramp",IF(RampWeightSum&gt;0,$D9*CE$20/RampWeightSum,0),$D9/($C9-$B9+1)),0)</f>
        <v>0</v>
      </c>
      <c r="CF9" s="22" t="n">
        <f aca="false">IF(AND(CF$5&gt;=$B9,CF$5&lt;=$C9,$C9&gt;=$B9),IF($E9="Ramp",IF(RampWeightSum&gt;0,$D9*CF$20/RampWeightSum,0),$D9/($C9-$B9+1)),0)</f>
        <v>0</v>
      </c>
      <c r="CG9" s="22" t="n">
        <f aca="false">IF(AND(CG$5&gt;=$B9,CG$5&lt;=$C9,$C9&gt;=$B9),IF($E9="Ramp",IF(RampWeightSum&gt;0,$D9*CG$20/RampWeightSum,0),$D9/($C9-$B9+1)),0)</f>
        <v>0</v>
      </c>
      <c r="CH9" s="22" t="n">
        <f aca="false">IF(AND(CH$5&gt;=$B9,CH$5&lt;=$C9,$C9&gt;=$B9),IF($E9="Ramp",IF(RampWeightSum&gt;0,$D9*CH$20/RampWeightSum,0),$D9/($C9-$B9+1)),0)</f>
        <v>0</v>
      </c>
      <c r="CI9" s="22" t="n">
        <f aca="false">IF(AND(CI$5&gt;=$B9,CI$5&lt;=$C9,$C9&gt;=$B9),IF($E9="Ramp",IF(RampWeightSum&gt;0,$D9*CI$20/RampWeightSum,0),$D9/($C9-$B9+1)),0)</f>
        <v>0</v>
      </c>
      <c r="CJ9" s="22" t="n">
        <f aca="false">IF(AND(CJ$5&gt;=$B9,CJ$5&lt;=$C9,$C9&gt;=$B9),IF($E9="Ramp",IF(RampWeightSum&gt;0,$D9*CJ$20/RampWeightSum,0),$D9/($C9-$B9+1)),0)</f>
        <v>0</v>
      </c>
      <c r="CK9" s="22" t="n">
        <f aca="false">IF(AND(CK$5&gt;=$B9,CK$5&lt;=$C9,$C9&gt;=$B9),IF($E9="Ramp",IF(RampWeightSum&gt;0,$D9*CK$20/RampWeightSum,0),$D9/($C9-$B9+1)),0)</f>
        <v>0</v>
      </c>
      <c r="CL9" s="22" t="n">
        <f aca="false">IF(AND(CL$5&gt;=$B9,CL$5&lt;=$C9,$C9&gt;=$B9),IF($E9="Ramp",IF(RampWeightSum&gt;0,$D9*CL$20/RampWeightSum,0),$D9/($C9-$B9+1)),0)</f>
        <v>0</v>
      </c>
      <c r="CM9" s="22" t="n">
        <f aca="false">IF(AND(CM$5&gt;=$B9,CM$5&lt;=$C9,$C9&gt;=$B9),IF($E9="Ramp",IF(RampWeightSum&gt;0,$D9*CM$20/RampWeightSum,0),$D9/($C9-$B9+1)),0)</f>
        <v>0</v>
      </c>
      <c r="CN9" s="22" t="n">
        <f aca="false">IF(AND(CN$5&gt;=$B9,CN$5&lt;=$C9,$C9&gt;=$B9),IF($E9="Ramp",IF(RampWeightSum&gt;0,$D9*CN$20/RampWeightSum,0),$D9/($C9-$B9+1)),0)</f>
        <v>0</v>
      </c>
      <c r="CO9" s="22" t="n">
        <f aca="false">IF(AND(CO$5&gt;=$B9,CO$5&lt;=$C9,$C9&gt;=$B9),IF($E9="Ramp",IF(RampWeightSum&gt;0,$D9*CO$20/RampWeightSum,0),$D9/($C9-$B9+1)),0)</f>
        <v>0</v>
      </c>
      <c r="CP9" s="22" t="n">
        <f aca="false">IF(AND(CP$5&gt;=$B9,CP$5&lt;=$C9,$C9&gt;=$B9),IF($E9="Ramp",IF(RampWeightSum&gt;0,$D9*CP$20/RampWeightSum,0),$D9/($C9-$B9+1)),0)</f>
        <v>0</v>
      </c>
      <c r="CQ9" s="22" t="n">
        <f aca="false">IF(AND(CQ$5&gt;=$B9,CQ$5&lt;=$C9,$C9&gt;=$B9),IF($E9="Ramp",IF(RampWeightSum&gt;0,$D9*CQ$20/RampWeightSum,0),$D9/($C9-$B9+1)),0)</f>
        <v>0</v>
      </c>
      <c r="CR9" s="22" t="n">
        <f aca="false">IF(AND(CR$5&gt;=$B9,CR$5&lt;=$C9,$C9&gt;=$B9),IF($E9="Ramp",IF(RampWeightSum&gt;0,$D9*CR$20/RampWeightSum,0),$D9/($C9-$B9+1)),0)</f>
        <v>0</v>
      </c>
      <c r="CS9" s="22" t="n">
        <f aca="false">IF(AND(CS$5&gt;=$B9,CS$5&lt;=$C9,$C9&gt;=$B9),IF($E9="Ramp",IF(RampWeightSum&gt;0,$D9*CS$20/RampWeightSum,0),$D9/($C9-$B9+1)),0)</f>
        <v>0</v>
      </c>
      <c r="CT9" s="22" t="n">
        <f aca="false">IF(AND(CT$5&gt;=$B9,CT$5&lt;=$C9,$C9&gt;=$B9),IF($E9="Ramp",IF(RampWeightSum&gt;0,$D9*CT$20/RampWeightSum,0),$D9/($C9-$B9+1)),0)</f>
        <v>0</v>
      </c>
      <c r="CU9" s="22" t="n">
        <f aca="false">IF(AND(CU$5&gt;=$B9,CU$5&lt;=$C9,$C9&gt;=$B9),IF($E9="Ramp",IF(RampWeightSum&gt;0,$D9*CU$20/RampWeightSum,0),$D9/($C9-$B9+1)),0)</f>
        <v>0</v>
      </c>
      <c r="CV9" s="22" t="n">
        <f aca="false">IF(AND(CV$5&gt;=$B9,CV$5&lt;=$C9,$C9&gt;=$B9),IF($E9="Ramp",IF(RampWeightSum&gt;0,$D9*CV$20/RampWeightSum,0),$D9/($C9-$B9+1)),0)</f>
        <v>0</v>
      </c>
      <c r="CW9" s="22" t="n">
        <f aca="false">IF(AND(CW$5&gt;=$B9,CW$5&lt;=$C9,$C9&gt;=$B9),IF($E9="Ramp",IF(RampWeightSum&gt;0,$D9*CW$20/RampWeightSum,0),$D9/($C9-$B9+1)),0)</f>
        <v>0</v>
      </c>
      <c r="CX9" s="22" t="n">
        <f aca="false">IF(AND(CX$5&gt;=$B9,CX$5&lt;=$C9,$C9&gt;=$B9),IF($E9="Ramp",IF(RampWeightSum&gt;0,$D9*CX$20/RampWeightSum,0),$D9/($C9-$B9+1)),0)</f>
        <v>0</v>
      </c>
      <c r="CY9" s="22" t="n">
        <f aca="false">IF(AND(CY$5&gt;=$B9,CY$5&lt;=$C9,$C9&gt;=$B9),IF($E9="Ramp",IF(RampWeightSum&gt;0,$D9*CY$20/RampWeightSum,0),$D9/($C9-$B9+1)),0)</f>
        <v>0</v>
      </c>
      <c r="CZ9" s="22" t="n">
        <f aca="false">IF(AND(CZ$5&gt;=$B9,CZ$5&lt;=$C9,$C9&gt;=$B9),IF($E9="Ramp",IF(RampWeightSum&gt;0,$D9*CZ$20/RampWeightSum,0),$D9/($C9-$B9+1)),0)</f>
        <v>0</v>
      </c>
      <c r="DA9" s="22" t="n">
        <f aca="false">IF(AND(DA$5&gt;=$B9,DA$5&lt;=$C9,$C9&gt;=$B9),IF($E9="Ramp",IF(RampWeightSum&gt;0,$D9*DA$20/RampWeightSum,0),$D9/($C9-$B9+1)),0)</f>
        <v>0</v>
      </c>
      <c r="DB9" s="22" t="n">
        <f aca="false">IF(AND(DB$5&gt;=$B9,DB$5&lt;=$C9,$C9&gt;=$B9),IF($E9="Ramp",IF(RampWeightSum&gt;0,$D9*DB$20/RampWeightSum,0),$D9/($C9-$B9+1)),0)</f>
        <v>0</v>
      </c>
      <c r="DC9" s="22" t="n">
        <f aca="false">IF(AND(DC$5&gt;=$B9,DC$5&lt;=$C9,$C9&gt;=$B9),IF($E9="Ramp",IF(RampWeightSum&gt;0,$D9*DC$20/RampWeightSum,0),$D9/($C9-$B9+1)),0)</f>
        <v>0</v>
      </c>
      <c r="DD9" s="22" t="n">
        <f aca="false">IF(AND(DD$5&gt;=$B9,DD$5&lt;=$C9,$C9&gt;=$B9),IF($E9="Ramp",IF(RampWeightSum&gt;0,$D9*DD$20/RampWeightSum,0),$D9/($C9-$B9+1)),0)</f>
        <v>0</v>
      </c>
      <c r="DE9" s="22" t="n">
        <f aca="false">IF(AND(DE$5&gt;=$B9,DE$5&lt;=$C9,$C9&gt;=$B9),IF($E9="Ramp",IF(RampWeightSum&gt;0,$D9*DE$20/RampWeightSum,0),$D9/($C9-$B9+1)),0)</f>
        <v>0</v>
      </c>
    </row>
    <row r="10" customFormat="false" ht="15" hidden="false" customHeight="false" outlineLevel="0" collapsed="false">
      <c r="A10" s="9" t="s">
        <v>84</v>
      </c>
      <c r="B10" s="29" t="n">
        <f aca="false">INDEX(PhStart,3)</f>
        <v>7</v>
      </c>
      <c r="C10" s="29" t="n">
        <f aca="false">INDEX(PhEnd,3)</f>
        <v>18</v>
      </c>
      <c r="D10" s="22" t="n">
        <f aca="false">INDEX(PhaseHours,3)</f>
        <v>2377.94</v>
      </c>
      <c r="E10" s="9" t="str">
        <f aca="false">Schedule!E48</f>
        <v>Flat</v>
      </c>
      <c r="F10" s="22" t="n">
        <f aca="false">IF(AND(F$5&gt;=$B10,F$5&lt;=$C10,$C10&gt;=$B10),IF($E10="Ramp",IF(RampWeightSum&gt;0,$D10*F$20/RampWeightSum,0),$D10/($C10-$B10+1)),0)</f>
        <v>0</v>
      </c>
      <c r="G10" s="22" t="n">
        <f aca="false">IF(AND(G$5&gt;=$B10,G$5&lt;=$C10,$C10&gt;=$B10),IF($E10="Ramp",IF(RampWeightSum&gt;0,$D10*G$20/RampWeightSum,0),$D10/($C10-$B10+1)),0)</f>
        <v>0</v>
      </c>
      <c r="H10" s="22" t="n">
        <f aca="false">IF(AND(H$5&gt;=$B10,H$5&lt;=$C10,$C10&gt;=$B10),IF($E10="Ramp",IF(RampWeightSum&gt;0,$D10*H$20/RampWeightSum,0),$D10/($C10-$B10+1)),0)</f>
        <v>0</v>
      </c>
      <c r="I10" s="22" t="n">
        <f aca="false">IF(AND(I$5&gt;=$B10,I$5&lt;=$C10,$C10&gt;=$B10),IF($E10="Ramp",IF(RampWeightSum&gt;0,$D10*I$20/RampWeightSum,0),$D10/($C10-$B10+1)),0)</f>
        <v>0</v>
      </c>
      <c r="J10" s="22" t="n">
        <f aca="false">IF(AND(J$5&gt;=$B10,J$5&lt;=$C10,$C10&gt;=$B10),IF($E10="Ramp",IF(RampWeightSum&gt;0,$D10*J$20/RampWeightSum,0),$D10/($C10-$B10+1)),0)</f>
        <v>0</v>
      </c>
      <c r="K10" s="22" t="n">
        <f aca="false">IF(AND(K$5&gt;=$B10,K$5&lt;=$C10,$C10&gt;=$B10),IF($E10="Ramp",IF(RampWeightSum&gt;0,$D10*K$20/RampWeightSum,0),$D10/($C10-$B10+1)),0)</f>
        <v>0</v>
      </c>
      <c r="L10" s="22" t="n">
        <f aca="false">IF(AND(L$5&gt;=$B10,L$5&lt;=$C10,$C10&gt;=$B10),IF($E10="Ramp",IF(RampWeightSum&gt;0,$D10*L$20/RampWeightSum,0),$D10/($C10-$B10+1)),0)</f>
        <v>198.161666666667</v>
      </c>
      <c r="M10" s="22" t="n">
        <f aca="false">IF(AND(M$5&gt;=$B10,M$5&lt;=$C10,$C10&gt;=$B10),IF($E10="Ramp",IF(RampWeightSum&gt;0,$D10*M$20/RampWeightSum,0),$D10/($C10-$B10+1)),0)</f>
        <v>198.161666666667</v>
      </c>
      <c r="N10" s="22" t="n">
        <f aca="false">IF(AND(N$5&gt;=$B10,N$5&lt;=$C10,$C10&gt;=$B10),IF($E10="Ramp",IF(RampWeightSum&gt;0,$D10*N$20/RampWeightSum,0),$D10/($C10-$B10+1)),0)</f>
        <v>198.161666666667</v>
      </c>
      <c r="O10" s="22" t="n">
        <f aca="false">IF(AND(O$5&gt;=$B10,O$5&lt;=$C10,$C10&gt;=$B10),IF($E10="Ramp",IF(RampWeightSum&gt;0,$D10*O$20/RampWeightSum,0),$D10/($C10-$B10+1)),0)</f>
        <v>198.161666666667</v>
      </c>
      <c r="P10" s="22" t="n">
        <f aca="false">IF(AND(P$5&gt;=$B10,P$5&lt;=$C10,$C10&gt;=$B10),IF($E10="Ramp",IF(RampWeightSum&gt;0,$D10*P$20/RampWeightSum,0),$D10/($C10-$B10+1)),0)</f>
        <v>198.161666666667</v>
      </c>
      <c r="Q10" s="22" t="n">
        <f aca="false">IF(AND(Q$5&gt;=$B10,Q$5&lt;=$C10,$C10&gt;=$B10),IF($E10="Ramp",IF(RampWeightSum&gt;0,$D10*Q$20/RampWeightSum,0),$D10/($C10-$B10+1)),0)</f>
        <v>198.161666666667</v>
      </c>
      <c r="R10" s="22" t="n">
        <f aca="false">IF(AND(R$5&gt;=$B10,R$5&lt;=$C10,$C10&gt;=$B10),IF($E10="Ramp",IF(RampWeightSum&gt;0,$D10*R$20/RampWeightSum,0),$D10/($C10-$B10+1)),0)</f>
        <v>198.161666666667</v>
      </c>
      <c r="S10" s="22" t="n">
        <f aca="false">IF(AND(S$5&gt;=$B10,S$5&lt;=$C10,$C10&gt;=$B10),IF($E10="Ramp",IF(RampWeightSum&gt;0,$D10*S$20/RampWeightSum,0),$D10/($C10-$B10+1)),0)</f>
        <v>198.161666666667</v>
      </c>
      <c r="T10" s="22" t="n">
        <f aca="false">IF(AND(T$5&gt;=$B10,T$5&lt;=$C10,$C10&gt;=$B10),IF($E10="Ramp",IF(RampWeightSum&gt;0,$D10*T$20/RampWeightSum,0),$D10/($C10-$B10+1)),0)</f>
        <v>198.161666666667</v>
      </c>
      <c r="U10" s="22" t="n">
        <f aca="false">IF(AND(U$5&gt;=$B10,U$5&lt;=$C10,$C10&gt;=$B10),IF($E10="Ramp",IF(RampWeightSum&gt;0,$D10*U$20/RampWeightSum,0),$D10/($C10-$B10+1)),0)</f>
        <v>198.161666666667</v>
      </c>
      <c r="V10" s="22" t="n">
        <f aca="false">IF(AND(V$5&gt;=$B10,V$5&lt;=$C10,$C10&gt;=$B10),IF($E10="Ramp",IF(RampWeightSum&gt;0,$D10*V$20/RampWeightSum,0),$D10/($C10-$B10+1)),0)</f>
        <v>198.161666666667</v>
      </c>
      <c r="W10" s="22" t="n">
        <f aca="false">IF(AND(W$5&gt;=$B10,W$5&lt;=$C10,$C10&gt;=$B10),IF($E10="Ramp",IF(RampWeightSum&gt;0,$D10*W$20/RampWeightSum,0),$D10/($C10-$B10+1)),0)</f>
        <v>198.161666666667</v>
      </c>
      <c r="X10" s="22" t="n">
        <f aca="false">IF(AND(X$5&gt;=$B10,X$5&lt;=$C10,$C10&gt;=$B10),IF($E10="Ramp",IF(RampWeightSum&gt;0,$D10*X$20/RampWeightSum,0),$D10/($C10-$B10+1)),0)</f>
        <v>0</v>
      </c>
      <c r="Y10" s="22" t="n">
        <f aca="false">IF(AND(Y$5&gt;=$B10,Y$5&lt;=$C10,$C10&gt;=$B10),IF($E10="Ramp",IF(RampWeightSum&gt;0,$D10*Y$20/RampWeightSum,0),$D10/($C10-$B10+1)),0)</f>
        <v>0</v>
      </c>
      <c r="Z10" s="22" t="n">
        <f aca="false">IF(AND(Z$5&gt;=$B10,Z$5&lt;=$C10,$C10&gt;=$B10),IF($E10="Ramp",IF(RampWeightSum&gt;0,$D10*Z$20/RampWeightSum,0),$D10/($C10-$B10+1)),0)</f>
        <v>0</v>
      </c>
      <c r="AA10" s="22" t="n">
        <f aca="false">IF(AND(AA$5&gt;=$B10,AA$5&lt;=$C10,$C10&gt;=$B10),IF($E10="Ramp",IF(RampWeightSum&gt;0,$D10*AA$20/RampWeightSum,0),$D10/($C10-$B10+1)),0)</f>
        <v>0</v>
      </c>
      <c r="AB10" s="22" t="n">
        <f aca="false">IF(AND(AB$5&gt;=$B10,AB$5&lt;=$C10,$C10&gt;=$B10),IF($E10="Ramp",IF(RampWeightSum&gt;0,$D10*AB$20/RampWeightSum,0),$D10/($C10-$B10+1)),0)</f>
        <v>0</v>
      </c>
      <c r="AC10" s="22" t="n">
        <f aca="false">IF(AND(AC$5&gt;=$B10,AC$5&lt;=$C10,$C10&gt;=$B10),IF($E10="Ramp",IF(RampWeightSum&gt;0,$D10*AC$20/RampWeightSum,0),$D10/($C10-$B10+1)),0)</f>
        <v>0</v>
      </c>
      <c r="AD10" s="22" t="n">
        <f aca="false">IF(AND(AD$5&gt;=$B10,AD$5&lt;=$C10,$C10&gt;=$B10),IF($E10="Ramp",IF(RampWeightSum&gt;0,$D10*AD$20/RampWeightSum,0),$D10/($C10-$B10+1)),0)</f>
        <v>0</v>
      </c>
      <c r="AE10" s="22" t="n">
        <f aca="false">IF(AND(AE$5&gt;=$B10,AE$5&lt;=$C10,$C10&gt;=$B10),IF($E10="Ramp",IF(RampWeightSum&gt;0,$D10*AE$20/RampWeightSum,0),$D10/($C10-$B10+1)),0)</f>
        <v>0</v>
      </c>
      <c r="AF10" s="22" t="n">
        <f aca="false">IF(AND(AF$5&gt;=$B10,AF$5&lt;=$C10,$C10&gt;=$B10),IF($E10="Ramp",IF(RampWeightSum&gt;0,$D10*AF$20/RampWeightSum,0),$D10/($C10-$B10+1)),0)</f>
        <v>0</v>
      </c>
      <c r="AG10" s="22" t="n">
        <f aca="false">IF(AND(AG$5&gt;=$B10,AG$5&lt;=$C10,$C10&gt;=$B10),IF($E10="Ramp",IF(RampWeightSum&gt;0,$D10*AG$20/RampWeightSum,0),$D10/($C10-$B10+1)),0)</f>
        <v>0</v>
      </c>
      <c r="AH10" s="22" t="n">
        <f aca="false">IF(AND(AH$5&gt;=$B10,AH$5&lt;=$C10,$C10&gt;=$B10),IF($E10="Ramp",IF(RampWeightSum&gt;0,$D10*AH$20/RampWeightSum,0),$D10/($C10-$B10+1)),0)</f>
        <v>0</v>
      </c>
      <c r="AI10" s="22" t="n">
        <f aca="false">IF(AND(AI$5&gt;=$B10,AI$5&lt;=$C10,$C10&gt;=$B10),IF($E10="Ramp",IF(RampWeightSum&gt;0,$D10*AI$20/RampWeightSum,0),$D10/($C10-$B10+1)),0)</f>
        <v>0</v>
      </c>
      <c r="AJ10" s="22" t="n">
        <f aca="false">IF(AND(AJ$5&gt;=$B10,AJ$5&lt;=$C10,$C10&gt;=$B10),IF($E10="Ramp",IF(RampWeightSum&gt;0,$D10*AJ$20/RampWeightSum,0),$D10/($C10-$B10+1)),0)</f>
        <v>0</v>
      </c>
      <c r="AK10" s="22" t="n">
        <f aca="false">IF(AND(AK$5&gt;=$B10,AK$5&lt;=$C10,$C10&gt;=$B10),IF($E10="Ramp",IF(RampWeightSum&gt;0,$D10*AK$20/RampWeightSum,0),$D10/($C10-$B10+1)),0)</f>
        <v>0</v>
      </c>
      <c r="AL10" s="22" t="n">
        <f aca="false">IF(AND(AL$5&gt;=$B10,AL$5&lt;=$C10,$C10&gt;=$B10),IF($E10="Ramp",IF(RampWeightSum&gt;0,$D10*AL$20/RampWeightSum,0),$D10/($C10-$B10+1)),0)</f>
        <v>0</v>
      </c>
      <c r="AM10" s="22" t="n">
        <f aca="false">IF(AND(AM$5&gt;=$B10,AM$5&lt;=$C10,$C10&gt;=$B10),IF($E10="Ramp",IF(RampWeightSum&gt;0,$D10*AM$20/RampWeightSum,0),$D10/($C10-$B10+1)),0)</f>
        <v>0</v>
      </c>
      <c r="AN10" s="22" t="n">
        <f aca="false">IF(AND(AN$5&gt;=$B10,AN$5&lt;=$C10,$C10&gt;=$B10),IF($E10="Ramp",IF(RampWeightSum&gt;0,$D10*AN$20/RampWeightSum,0),$D10/($C10-$B10+1)),0)</f>
        <v>0</v>
      </c>
      <c r="AO10" s="22" t="n">
        <f aca="false">IF(AND(AO$5&gt;=$B10,AO$5&lt;=$C10,$C10&gt;=$B10),IF($E10="Ramp",IF(RampWeightSum&gt;0,$D10*AO$20/RampWeightSum,0),$D10/($C10-$B10+1)),0)</f>
        <v>0</v>
      </c>
      <c r="AP10" s="22" t="n">
        <f aca="false">IF(AND(AP$5&gt;=$B10,AP$5&lt;=$C10,$C10&gt;=$B10),IF($E10="Ramp",IF(RampWeightSum&gt;0,$D10*AP$20/RampWeightSum,0),$D10/($C10-$B10+1)),0)</f>
        <v>0</v>
      </c>
      <c r="AQ10" s="22" t="n">
        <f aca="false">IF(AND(AQ$5&gt;=$B10,AQ$5&lt;=$C10,$C10&gt;=$B10),IF($E10="Ramp",IF(RampWeightSum&gt;0,$D10*AQ$20/RampWeightSum,0),$D10/($C10-$B10+1)),0)</f>
        <v>0</v>
      </c>
      <c r="AR10" s="22" t="n">
        <f aca="false">IF(AND(AR$5&gt;=$B10,AR$5&lt;=$C10,$C10&gt;=$B10),IF($E10="Ramp",IF(RampWeightSum&gt;0,$D10*AR$20/RampWeightSum,0),$D10/($C10-$B10+1)),0)</f>
        <v>0</v>
      </c>
      <c r="AS10" s="22" t="n">
        <f aca="false">IF(AND(AS$5&gt;=$B10,AS$5&lt;=$C10,$C10&gt;=$B10),IF($E10="Ramp",IF(RampWeightSum&gt;0,$D10*AS$20/RampWeightSum,0),$D10/($C10-$B10+1)),0)</f>
        <v>0</v>
      </c>
      <c r="AT10" s="22" t="n">
        <f aca="false">IF(AND(AT$5&gt;=$B10,AT$5&lt;=$C10,$C10&gt;=$B10),IF($E10="Ramp",IF(RampWeightSum&gt;0,$D10*AT$20/RampWeightSum,0),$D10/($C10-$B10+1)),0)</f>
        <v>0</v>
      </c>
      <c r="AU10" s="22" t="n">
        <f aca="false">IF(AND(AU$5&gt;=$B10,AU$5&lt;=$C10,$C10&gt;=$B10),IF($E10="Ramp",IF(RampWeightSum&gt;0,$D10*AU$20/RampWeightSum,0),$D10/($C10-$B10+1)),0)</f>
        <v>0</v>
      </c>
      <c r="AV10" s="22" t="n">
        <f aca="false">IF(AND(AV$5&gt;=$B10,AV$5&lt;=$C10,$C10&gt;=$B10),IF($E10="Ramp",IF(RampWeightSum&gt;0,$D10*AV$20/RampWeightSum,0),$D10/($C10-$B10+1)),0)</f>
        <v>0</v>
      </c>
      <c r="AW10" s="22" t="n">
        <f aca="false">IF(AND(AW$5&gt;=$B10,AW$5&lt;=$C10,$C10&gt;=$B10),IF($E10="Ramp",IF(RampWeightSum&gt;0,$D10*AW$20/RampWeightSum,0),$D10/($C10-$B10+1)),0)</f>
        <v>0</v>
      </c>
      <c r="AX10" s="22" t="n">
        <f aca="false">IF(AND(AX$5&gt;=$B10,AX$5&lt;=$C10,$C10&gt;=$B10),IF($E10="Ramp",IF(RampWeightSum&gt;0,$D10*AX$20/RampWeightSum,0),$D10/($C10-$B10+1)),0)</f>
        <v>0</v>
      </c>
      <c r="AY10" s="22" t="n">
        <f aca="false">IF(AND(AY$5&gt;=$B10,AY$5&lt;=$C10,$C10&gt;=$B10),IF($E10="Ramp",IF(RampWeightSum&gt;0,$D10*AY$20/RampWeightSum,0),$D10/($C10-$B10+1)),0)</f>
        <v>0</v>
      </c>
      <c r="AZ10" s="22" t="n">
        <f aca="false">IF(AND(AZ$5&gt;=$B10,AZ$5&lt;=$C10,$C10&gt;=$B10),IF($E10="Ramp",IF(RampWeightSum&gt;0,$D10*AZ$20/RampWeightSum,0),$D10/($C10-$B10+1)),0)</f>
        <v>0</v>
      </c>
      <c r="BA10" s="22" t="n">
        <f aca="false">IF(AND(BA$5&gt;=$B10,BA$5&lt;=$C10,$C10&gt;=$B10),IF($E10="Ramp",IF(RampWeightSum&gt;0,$D10*BA$20/RampWeightSum,0),$D10/($C10-$B10+1)),0)</f>
        <v>0</v>
      </c>
      <c r="BB10" s="22" t="n">
        <f aca="false">IF(AND(BB$5&gt;=$B10,BB$5&lt;=$C10,$C10&gt;=$B10),IF($E10="Ramp",IF(RampWeightSum&gt;0,$D10*BB$20/RampWeightSum,0),$D10/($C10-$B10+1)),0)</f>
        <v>0</v>
      </c>
      <c r="BC10" s="22" t="n">
        <f aca="false">IF(AND(BC$5&gt;=$B10,BC$5&lt;=$C10,$C10&gt;=$B10),IF($E10="Ramp",IF(RampWeightSum&gt;0,$D10*BC$20/RampWeightSum,0),$D10/($C10-$B10+1)),0)</f>
        <v>0</v>
      </c>
      <c r="BD10" s="22" t="n">
        <f aca="false">IF(AND(BD$5&gt;=$B10,BD$5&lt;=$C10,$C10&gt;=$B10),IF($E10="Ramp",IF(RampWeightSum&gt;0,$D10*BD$20/RampWeightSum,0),$D10/($C10-$B10+1)),0)</f>
        <v>0</v>
      </c>
      <c r="BE10" s="22" t="n">
        <f aca="false">IF(AND(BE$5&gt;=$B10,BE$5&lt;=$C10,$C10&gt;=$B10),IF($E10="Ramp",IF(RampWeightSum&gt;0,$D10*BE$20/RampWeightSum,0),$D10/($C10-$B10+1)),0)</f>
        <v>0</v>
      </c>
      <c r="BF10" s="22" t="n">
        <f aca="false">IF(AND(BF$5&gt;=$B10,BF$5&lt;=$C10,$C10&gt;=$B10),IF($E10="Ramp",IF(RampWeightSum&gt;0,$D10*BF$20/RampWeightSum,0),$D10/($C10-$B10+1)),0)</f>
        <v>0</v>
      </c>
      <c r="BG10" s="22" t="n">
        <f aca="false">IF(AND(BG$5&gt;=$B10,BG$5&lt;=$C10,$C10&gt;=$B10),IF($E10="Ramp",IF(RampWeightSum&gt;0,$D10*BG$20/RampWeightSum,0),$D10/($C10-$B10+1)),0)</f>
        <v>0</v>
      </c>
      <c r="BH10" s="22" t="n">
        <f aca="false">IF(AND(BH$5&gt;=$B10,BH$5&lt;=$C10,$C10&gt;=$B10),IF($E10="Ramp",IF(RampWeightSum&gt;0,$D10*BH$20/RampWeightSum,0),$D10/($C10-$B10+1)),0)</f>
        <v>0</v>
      </c>
      <c r="BI10" s="22" t="n">
        <f aca="false">IF(AND(BI$5&gt;=$B10,BI$5&lt;=$C10,$C10&gt;=$B10),IF($E10="Ramp",IF(RampWeightSum&gt;0,$D10*BI$20/RampWeightSum,0),$D10/($C10-$B10+1)),0)</f>
        <v>0</v>
      </c>
      <c r="BJ10" s="22" t="n">
        <f aca="false">IF(AND(BJ$5&gt;=$B10,BJ$5&lt;=$C10,$C10&gt;=$B10),IF($E10="Ramp",IF(RampWeightSum&gt;0,$D10*BJ$20/RampWeightSum,0),$D10/($C10-$B10+1)),0)</f>
        <v>0</v>
      </c>
      <c r="BK10" s="22" t="n">
        <f aca="false">IF(AND(BK$5&gt;=$B10,BK$5&lt;=$C10,$C10&gt;=$B10),IF($E10="Ramp",IF(RampWeightSum&gt;0,$D10*BK$20/RampWeightSum,0),$D10/($C10-$B10+1)),0)</f>
        <v>0</v>
      </c>
      <c r="BL10" s="22" t="n">
        <f aca="false">IF(AND(BL$5&gt;=$B10,BL$5&lt;=$C10,$C10&gt;=$B10),IF($E10="Ramp",IF(RampWeightSum&gt;0,$D10*BL$20/RampWeightSum,0),$D10/($C10-$B10+1)),0)</f>
        <v>0</v>
      </c>
      <c r="BM10" s="22" t="n">
        <f aca="false">IF(AND(BM$5&gt;=$B10,BM$5&lt;=$C10,$C10&gt;=$B10),IF($E10="Ramp",IF(RampWeightSum&gt;0,$D10*BM$20/RampWeightSum,0),$D10/($C10-$B10+1)),0)</f>
        <v>0</v>
      </c>
      <c r="BN10" s="22" t="n">
        <f aca="false">IF(AND(BN$5&gt;=$B10,BN$5&lt;=$C10,$C10&gt;=$B10),IF($E10="Ramp",IF(RampWeightSum&gt;0,$D10*BN$20/RampWeightSum,0),$D10/($C10-$B10+1)),0)</f>
        <v>0</v>
      </c>
      <c r="BO10" s="22" t="n">
        <f aca="false">IF(AND(BO$5&gt;=$B10,BO$5&lt;=$C10,$C10&gt;=$B10),IF($E10="Ramp",IF(RampWeightSum&gt;0,$D10*BO$20/RampWeightSum,0),$D10/($C10-$B10+1)),0)</f>
        <v>0</v>
      </c>
      <c r="BP10" s="22" t="n">
        <f aca="false">IF(AND(BP$5&gt;=$B10,BP$5&lt;=$C10,$C10&gt;=$B10),IF($E10="Ramp",IF(RampWeightSum&gt;0,$D10*BP$20/RampWeightSum,0),$D10/($C10-$B10+1)),0)</f>
        <v>0</v>
      </c>
      <c r="BQ10" s="22" t="n">
        <f aca="false">IF(AND(BQ$5&gt;=$B10,BQ$5&lt;=$C10,$C10&gt;=$B10),IF($E10="Ramp",IF(RampWeightSum&gt;0,$D10*BQ$20/RampWeightSum,0),$D10/($C10-$B10+1)),0)</f>
        <v>0</v>
      </c>
      <c r="BR10" s="22" t="n">
        <f aca="false">IF(AND(BR$5&gt;=$B10,BR$5&lt;=$C10,$C10&gt;=$B10),IF($E10="Ramp",IF(RampWeightSum&gt;0,$D10*BR$20/RampWeightSum,0),$D10/($C10-$B10+1)),0)</f>
        <v>0</v>
      </c>
      <c r="BS10" s="22" t="n">
        <f aca="false">IF(AND(BS$5&gt;=$B10,BS$5&lt;=$C10,$C10&gt;=$B10),IF($E10="Ramp",IF(RampWeightSum&gt;0,$D10*BS$20/RampWeightSum,0),$D10/($C10-$B10+1)),0)</f>
        <v>0</v>
      </c>
      <c r="BT10" s="22" t="n">
        <f aca="false">IF(AND(BT$5&gt;=$B10,BT$5&lt;=$C10,$C10&gt;=$B10),IF($E10="Ramp",IF(RampWeightSum&gt;0,$D10*BT$20/RampWeightSum,0),$D10/($C10-$B10+1)),0)</f>
        <v>0</v>
      </c>
      <c r="BU10" s="22" t="n">
        <f aca="false">IF(AND(BU$5&gt;=$B10,BU$5&lt;=$C10,$C10&gt;=$B10),IF($E10="Ramp",IF(RampWeightSum&gt;0,$D10*BU$20/RampWeightSum,0),$D10/($C10-$B10+1)),0)</f>
        <v>0</v>
      </c>
      <c r="BV10" s="22" t="n">
        <f aca="false">IF(AND(BV$5&gt;=$B10,BV$5&lt;=$C10,$C10&gt;=$B10),IF($E10="Ramp",IF(RampWeightSum&gt;0,$D10*BV$20/RampWeightSum,0),$D10/($C10-$B10+1)),0)</f>
        <v>0</v>
      </c>
      <c r="BW10" s="22" t="n">
        <f aca="false">IF(AND(BW$5&gt;=$B10,BW$5&lt;=$C10,$C10&gt;=$B10),IF($E10="Ramp",IF(RampWeightSum&gt;0,$D10*BW$20/RampWeightSum,0),$D10/($C10-$B10+1)),0)</f>
        <v>0</v>
      </c>
      <c r="BX10" s="22" t="n">
        <f aca="false">IF(AND(BX$5&gt;=$B10,BX$5&lt;=$C10,$C10&gt;=$B10),IF($E10="Ramp",IF(RampWeightSum&gt;0,$D10*BX$20/RampWeightSum,0),$D10/($C10-$B10+1)),0)</f>
        <v>0</v>
      </c>
      <c r="BY10" s="22" t="n">
        <f aca="false">IF(AND(BY$5&gt;=$B10,BY$5&lt;=$C10,$C10&gt;=$B10),IF($E10="Ramp",IF(RampWeightSum&gt;0,$D10*BY$20/RampWeightSum,0),$D10/($C10-$B10+1)),0)</f>
        <v>0</v>
      </c>
      <c r="BZ10" s="22" t="n">
        <f aca="false">IF(AND(BZ$5&gt;=$B10,BZ$5&lt;=$C10,$C10&gt;=$B10),IF($E10="Ramp",IF(RampWeightSum&gt;0,$D10*BZ$20/RampWeightSum,0),$D10/($C10-$B10+1)),0)</f>
        <v>0</v>
      </c>
      <c r="CA10" s="22" t="n">
        <f aca="false">IF(AND(CA$5&gt;=$B10,CA$5&lt;=$C10,$C10&gt;=$B10),IF($E10="Ramp",IF(RampWeightSum&gt;0,$D10*CA$20/RampWeightSum,0),$D10/($C10-$B10+1)),0)</f>
        <v>0</v>
      </c>
      <c r="CB10" s="22" t="n">
        <f aca="false">IF(AND(CB$5&gt;=$B10,CB$5&lt;=$C10,$C10&gt;=$B10),IF($E10="Ramp",IF(RampWeightSum&gt;0,$D10*CB$20/RampWeightSum,0),$D10/($C10-$B10+1)),0)</f>
        <v>0</v>
      </c>
      <c r="CC10" s="22" t="n">
        <f aca="false">IF(AND(CC$5&gt;=$B10,CC$5&lt;=$C10,$C10&gt;=$B10),IF($E10="Ramp",IF(RampWeightSum&gt;0,$D10*CC$20/RampWeightSum,0),$D10/($C10-$B10+1)),0)</f>
        <v>0</v>
      </c>
      <c r="CD10" s="22" t="n">
        <f aca="false">IF(AND(CD$5&gt;=$B10,CD$5&lt;=$C10,$C10&gt;=$B10),IF($E10="Ramp",IF(RampWeightSum&gt;0,$D10*CD$20/RampWeightSum,0),$D10/($C10-$B10+1)),0)</f>
        <v>0</v>
      </c>
      <c r="CE10" s="22" t="n">
        <f aca="false">IF(AND(CE$5&gt;=$B10,CE$5&lt;=$C10,$C10&gt;=$B10),IF($E10="Ramp",IF(RampWeightSum&gt;0,$D10*CE$20/RampWeightSum,0),$D10/($C10-$B10+1)),0)</f>
        <v>0</v>
      </c>
      <c r="CF10" s="22" t="n">
        <f aca="false">IF(AND(CF$5&gt;=$B10,CF$5&lt;=$C10,$C10&gt;=$B10),IF($E10="Ramp",IF(RampWeightSum&gt;0,$D10*CF$20/RampWeightSum,0),$D10/($C10-$B10+1)),0)</f>
        <v>0</v>
      </c>
      <c r="CG10" s="22" t="n">
        <f aca="false">IF(AND(CG$5&gt;=$B10,CG$5&lt;=$C10,$C10&gt;=$B10),IF($E10="Ramp",IF(RampWeightSum&gt;0,$D10*CG$20/RampWeightSum,0),$D10/($C10-$B10+1)),0)</f>
        <v>0</v>
      </c>
      <c r="CH10" s="22" t="n">
        <f aca="false">IF(AND(CH$5&gt;=$B10,CH$5&lt;=$C10,$C10&gt;=$B10),IF($E10="Ramp",IF(RampWeightSum&gt;0,$D10*CH$20/RampWeightSum,0),$D10/($C10-$B10+1)),0)</f>
        <v>0</v>
      </c>
      <c r="CI10" s="22" t="n">
        <f aca="false">IF(AND(CI$5&gt;=$B10,CI$5&lt;=$C10,$C10&gt;=$B10),IF($E10="Ramp",IF(RampWeightSum&gt;0,$D10*CI$20/RampWeightSum,0),$D10/($C10-$B10+1)),0)</f>
        <v>0</v>
      </c>
      <c r="CJ10" s="22" t="n">
        <f aca="false">IF(AND(CJ$5&gt;=$B10,CJ$5&lt;=$C10,$C10&gt;=$B10),IF($E10="Ramp",IF(RampWeightSum&gt;0,$D10*CJ$20/RampWeightSum,0),$D10/($C10-$B10+1)),0)</f>
        <v>0</v>
      </c>
      <c r="CK10" s="22" t="n">
        <f aca="false">IF(AND(CK$5&gt;=$B10,CK$5&lt;=$C10,$C10&gt;=$B10),IF($E10="Ramp",IF(RampWeightSum&gt;0,$D10*CK$20/RampWeightSum,0),$D10/($C10-$B10+1)),0)</f>
        <v>0</v>
      </c>
      <c r="CL10" s="22" t="n">
        <f aca="false">IF(AND(CL$5&gt;=$B10,CL$5&lt;=$C10,$C10&gt;=$B10),IF($E10="Ramp",IF(RampWeightSum&gt;0,$D10*CL$20/RampWeightSum,0),$D10/($C10-$B10+1)),0)</f>
        <v>0</v>
      </c>
      <c r="CM10" s="22" t="n">
        <f aca="false">IF(AND(CM$5&gt;=$B10,CM$5&lt;=$C10,$C10&gt;=$B10),IF($E10="Ramp",IF(RampWeightSum&gt;0,$D10*CM$20/RampWeightSum,0),$D10/($C10-$B10+1)),0)</f>
        <v>0</v>
      </c>
      <c r="CN10" s="22" t="n">
        <f aca="false">IF(AND(CN$5&gt;=$B10,CN$5&lt;=$C10,$C10&gt;=$B10),IF($E10="Ramp",IF(RampWeightSum&gt;0,$D10*CN$20/RampWeightSum,0),$D10/($C10-$B10+1)),0)</f>
        <v>0</v>
      </c>
      <c r="CO10" s="22" t="n">
        <f aca="false">IF(AND(CO$5&gt;=$B10,CO$5&lt;=$C10,$C10&gt;=$B10),IF($E10="Ramp",IF(RampWeightSum&gt;0,$D10*CO$20/RampWeightSum,0),$D10/($C10-$B10+1)),0)</f>
        <v>0</v>
      </c>
      <c r="CP10" s="22" t="n">
        <f aca="false">IF(AND(CP$5&gt;=$B10,CP$5&lt;=$C10,$C10&gt;=$B10),IF($E10="Ramp",IF(RampWeightSum&gt;0,$D10*CP$20/RampWeightSum,0),$D10/($C10-$B10+1)),0)</f>
        <v>0</v>
      </c>
      <c r="CQ10" s="22" t="n">
        <f aca="false">IF(AND(CQ$5&gt;=$B10,CQ$5&lt;=$C10,$C10&gt;=$B10),IF($E10="Ramp",IF(RampWeightSum&gt;0,$D10*CQ$20/RampWeightSum,0),$D10/($C10-$B10+1)),0)</f>
        <v>0</v>
      </c>
      <c r="CR10" s="22" t="n">
        <f aca="false">IF(AND(CR$5&gt;=$B10,CR$5&lt;=$C10,$C10&gt;=$B10),IF($E10="Ramp",IF(RampWeightSum&gt;0,$D10*CR$20/RampWeightSum,0),$D10/($C10-$B10+1)),0)</f>
        <v>0</v>
      </c>
      <c r="CS10" s="22" t="n">
        <f aca="false">IF(AND(CS$5&gt;=$B10,CS$5&lt;=$C10,$C10&gt;=$B10),IF($E10="Ramp",IF(RampWeightSum&gt;0,$D10*CS$20/RampWeightSum,0),$D10/($C10-$B10+1)),0)</f>
        <v>0</v>
      </c>
      <c r="CT10" s="22" t="n">
        <f aca="false">IF(AND(CT$5&gt;=$B10,CT$5&lt;=$C10,$C10&gt;=$B10),IF($E10="Ramp",IF(RampWeightSum&gt;0,$D10*CT$20/RampWeightSum,0),$D10/($C10-$B10+1)),0)</f>
        <v>0</v>
      </c>
      <c r="CU10" s="22" t="n">
        <f aca="false">IF(AND(CU$5&gt;=$B10,CU$5&lt;=$C10,$C10&gt;=$B10),IF($E10="Ramp",IF(RampWeightSum&gt;0,$D10*CU$20/RampWeightSum,0),$D10/($C10-$B10+1)),0)</f>
        <v>0</v>
      </c>
      <c r="CV10" s="22" t="n">
        <f aca="false">IF(AND(CV$5&gt;=$B10,CV$5&lt;=$C10,$C10&gt;=$B10),IF($E10="Ramp",IF(RampWeightSum&gt;0,$D10*CV$20/RampWeightSum,0),$D10/($C10-$B10+1)),0)</f>
        <v>0</v>
      </c>
      <c r="CW10" s="22" t="n">
        <f aca="false">IF(AND(CW$5&gt;=$B10,CW$5&lt;=$C10,$C10&gt;=$B10),IF($E10="Ramp",IF(RampWeightSum&gt;0,$D10*CW$20/RampWeightSum,0),$D10/($C10-$B10+1)),0)</f>
        <v>0</v>
      </c>
      <c r="CX10" s="22" t="n">
        <f aca="false">IF(AND(CX$5&gt;=$B10,CX$5&lt;=$C10,$C10&gt;=$B10),IF($E10="Ramp",IF(RampWeightSum&gt;0,$D10*CX$20/RampWeightSum,0),$D10/($C10-$B10+1)),0)</f>
        <v>0</v>
      </c>
      <c r="CY10" s="22" t="n">
        <f aca="false">IF(AND(CY$5&gt;=$B10,CY$5&lt;=$C10,$C10&gt;=$B10),IF($E10="Ramp",IF(RampWeightSum&gt;0,$D10*CY$20/RampWeightSum,0),$D10/($C10-$B10+1)),0)</f>
        <v>0</v>
      </c>
      <c r="CZ10" s="22" t="n">
        <f aca="false">IF(AND(CZ$5&gt;=$B10,CZ$5&lt;=$C10,$C10&gt;=$B10),IF($E10="Ramp",IF(RampWeightSum&gt;0,$D10*CZ$20/RampWeightSum,0),$D10/($C10-$B10+1)),0)</f>
        <v>0</v>
      </c>
      <c r="DA10" s="22" t="n">
        <f aca="false">IF(AND(DA$5&gt;=$B10,DA$5&lt;=$C10,$C10&gt;=$B10),IF($E10="Ramp",IF(RampWeightSum&gt;0,$D10*DA$20/RampWeightSum,0),$D10/($C10-$B10+1)),0)</f>
        <v>0</v>
      </c>
      <c r="DB10" s="22" t="n">
        <f aca="false">IF(AND(DB$5&gt;=$B10,DB$5&lt;=$C10,$C10&gt;=$B10),IF($E10="Ramp",IF(RampWeightSum&gt;0,$D10*DB$20/RampWeightSum,0),$D10/($C10-$B10+1)),0)</f>
        <v>0</v>
      </c>
      <c r="DC10" s="22" t="n">
        <f aca="false">IF(AND(DC$5&gt;=$B10,DC$5&lt;=$C10,$C10&gt;=$B10),IF($E10="Ramp",IF(RampWeightSum&gt;0,$D10*DC$20/RampWeightSum,0),$D10/($C10-$B10+1)),0)</f>
        <v>0</v>
      </c>
      <c r="DD10" s="22" t="n">
        <f aca="false">IF(AND(DD$5&gt;=$B10,DD$5&lt;=$C10,$C10&gt;=$B10),IF($E10="Ramp",IF(RampWeightSum&gt;0,$D10*DD$20/RampWeightSum,0),$D10/($C10-$B10+1)),0)</f>
        <v>0</v>
      </c>
      <c r="DE10" s="22" t="n">
        <f aca="false">IF(AND(DE$5&gt;=$B10,DE$5&lt;=$C10,$C10&gt;=$B10),IF($E10="Ramp",IF(RampWeightSum&gt;0,$D10*DE$20/RampWeightSum,0),$D10/($C10-$B10+1)),0)</f>
        <v>0</v>
      </c>
    </row>
    <row r="11" customFormat="false" ht="15" hidden="false" customHeight="false" outlineLevel="0" collapsed="false">
      <c r="A11" s="9" t="s">
        <v>85</v>
      </c>
      <c r="B11" s="29" t="n">
        <f aca="false">INDEX(PhStart,4)</f>
        <v>9</v>
      </c>
      <c r="C11" s="29" t="n">
        <f aca="false">INDEX(PhEnd,4)</f>
        <v>28</v>
      </c>
      <c r="D11" s="22" t="n">
        <f aca="false">INDEX(PhaseHours,4)</f>
        <v>6206.6628978125</v>
      </c>
      <c r="E11" s="9" t="str">
        <f aca="false">Schedule!E49</f>
        <v>Ramp</v>
      </c>
      <c r="F11" s="22" t="n">
        <f aca="false">IF(AND(F$5&gt;=$B11,F$5&lt;=$C11,$C11&gt;=$B11),IF($E11="Ramp",IF(RampWeightSum&gt;0,$D11*F$20/RampWeightSum,0),$D11/($C11-$B11+1)),0)</f>
        <v>0</v>
      </c>
      <c r="G11" s="22" t="n">
        <f aca="false">IF(AND(G$5&gt;=$B11,G$5&lt;=$C11,$C11&gt;=$B11),IF($E11="Ramp",IF(RampWeightSum&gt;0,$D11*G$20/RampWeightSum,0),$D11/($C11-$B11+1)),0)</f>
        <v>0</v>
      </c>
      <c r="H11" s="22" t="n">
        <f aca="false">IF(AND(H$5&gt;=$B11,H$5&lt;=$C11,$C11&gt;=$B11),IF($E11="Ramp",IF(RampWeightSum&gt;0,$D11*H$20/RampWeightSum,0),$D11/($C11-$B11+1)),0)</f>
        <v>0</v>
      </c>
      <c r="I11" s="22" t="n">
        <f aca="false">IF(AND(I$5&gt;=$B11,I$5&lt;=$C11,$C11&gt;=$B11),IF($E11="Ramp",IF(RampWeightSum&gt;0,$D11*I$20/RampWeightSum,0),$D11/($C11-$B11+1)),0)</f>
        <v>0</v>
      </c>
      <c r="J11" s="22" t="n">
        <f aca="false">IF(AND(J$5&gt;=$B11,J$5&lt;=$C11,$C11&gt;=$B11),IF($E11="Ramp",IF(RampWeightSum&gt;0,$D11*J$20/RampWeightSum,0),$D11/($C11-$B11+1)),0)</f>
        <v>0</v>
      </c>
      <c r="K11" s="22" t="n">
        <f aca="false">IF(AND(K$5&gt;=$B11,K$5&lt;=$C11,$C11&gt;=$B11),IF($E11="Ramp",IF(RampWeightSum&gt;0,$D11*K$20/RampWeightSum,0),$D11/($C11-$B11+1)),0)</f>
        <v>0</v>
      </c>
      <c r="L11" s="22" t="n">
        <f aca="false">IF(AND(L$5&gt;=$B11,L$5&lt;=$C11,$C11&gt;=$B11),IF($E11="Ramp",IF(RampWeightSum&gt;0,$D11*L$20/RampWeightSum,0),$D11/($C11-$B11+1)),0)</f>
        <v>0</v>
      </c>
      <c r="M11" s="22" t="n">
        <f aca="false">IF(AND(M$5&gt;=$B11,M$5&lt;=$C11,$C11&gt;=$B11),IF($E11="Ramp",IF(RampWeightSum&gt;0,$D11*M$20/RampWeightSum,0),$D11/($C11-$B11+1)),0)</f>
        <v>0</v>
      </c>
      <c r="N11" s="22" t="n">
        <f aca="false">IF(AND(N$5&gt;=$B11,N$5&lt;=$C11,$C11&gt;=$B11),IF($E11="Ramp",IF(RampWeightSum&gt;0,$D11*N$20/RampWeightSum,0),$D11/($C11-$B11+1)),0)</f>
        <v>91.2744543795956</v>
      </c>
      <c r="O11" s="22" t="n">
        <f aca="false">IF(AND(O$5&gt;=$B11,O$5&lt;=$C11,$C11&gt;=$B11),IF($E11="Ramp",IF(RampWeightSum&gt;0,$D11*O$20/RampWeightSum,0),$D11/($C11-$B11+1)),0)</f>
        <v>182.548908759191</v>
      </c>
      <c r="P11" s="22" t="n">
        <f aca="false">IF(AND(P$5&gt;=$B11,P$5&lt;=$C11,$C11&gt;=$B11),IF($E11="Ramp",IF(RampWeightSum&gt;0,$D11*P$20/RampWeightSum,0),$D11/($C11-$B11+1)),0)</f>
        <v>273.823363138787</v>
      </c>
      <c r="Q11" s="22" t="n">
        <f aca="false">IF(AND(Q$5&gt;=$B11,Q$5&lt;=$C11,$C11&gt;=$B11),IF($E11="Ramp",IF(RampWeightSum&gt;0,$D11*Q$20/RampWeightSum,0),$D11/($C11-$B11+1)),0)</f>
        <v>365.097817518382</v>
      </c>
      <c r="R11" s="22" t="n">
        <f aca="false">IF(AND(R$5&gt;=$B11,R$5&lt;=$C11,$C11&gt;=$B11),IF($E11="Ramp",IF(RampWeightSum&gt;0,$D11*R$20/RampWeightSum,0),$D11/($C11-$B11+1)),0)</f>
        <v>365.097817518382</v>
      </c>
      <c r="S11" s="22" t="n">
        <f aca="false">IF(AND(S$5&gt;=$B11,S$5&lt;=$C11,$C11&gt;=$B11),IF($E11="Ramp",IF(RampWeightSum&gt;0,$D11*S$20/RampWeightSum,0),$D11/($C11-$B11+1)),0)</f>
        <v>365.097817518382</v>
      </c>
      <c r="T11" s="22" t="n">
        <f aca="false">IF(AND(T$5&gt;=$B11,T$5&lt;=$C11,$C11&gt;=$B11),IF($E11="Ramp",IF(RampWeightSum&gt;0,$D11*T$20/RampWeightSum,0),$D11/($C11-$B11+1)),0)</f>
        <v>365.097817518382</v>
      </c>
      <c r="U11" s="22" t="n">
        <f aca="false">IF(AND(U$5&gt;=$B11,U$5&lt;=$C11,$C11&gt;=$B11),IF($E11="Ramp",IF(RampWeightSum&gt;0,$D11*U$20/RampWeightSum,0),$D11/($C11-$B11+1)),0)</f>
        <v>365.097817518382</v>
      </c>
      <c r="V11" s="22" t="n">
        <f aca="false">IF(AND(V$5&gt;=$B11,V$5&lt;=$C11,$C11&gt;=$B11),IF($E11="Ramp",IF(RampWeightSum&gt;0,$D11*V$20/RampWeightSum,0),$D11/($C11-$B11+1)),0)</f>
        <v>365.097817518382</v>
      </c>
      <c r="W11" s="22" t="n">
        <f aca="false">IF(AND(W$5&gt;=$B11,W$5&lt;=$C11,$C11&gt;=$B11),IF($E11="Ramp",IF(RampWeightSum&gt;0,$D11*W$20/RampWeightSum,0),$D11/($C11-$B11+1)),0)</f>
        <v>365.097817518382</v>
      </c>
      <c r="X11" s="22" t="n">
        <f aca="false">IF(AND(X$5&gt;=$B11,X$5&lt;=$C11,$C11&gt;=$B11),IF($E11="Ramp",IF(RampWeightSum&gt;0,$D11*X$20/RampWeightSum,0),$D11/($C11-$B11+1)),0)</f>
        <v>365.097817518382</v>
      </c>
      <c r="Y11" s="22" t="n">
        <f aca="false">IF(AND(Y$5&gt;=$B11,Y$5&lt;=$C11,$C11&gt;=$B11),IF($E11="Ramp",IF(RampWeightSum&gt;0,$D11*Y$20/RampWeightSum,0),$D11/($C11-$B11+1)),0)</f>
        <v>365.097817518382</v>
      </c>
      <c r="Z11" s="22" t="n">
        <f aca="false">IF(AND(Z$5&gt;=$B11,Z$5&lt;=$C11,$C11&gt;=$B11),IF($E11="Ramp",IF(RampWeightSum&gt;0,$D11*Z$20/RampWeightSum,0),$D11/($C11-$B11+1)),0)</f>
        <v>365.097817518382</v>
      </c>
      <c r="AA11" s="22" t="n">
        <f aca="false">IF(AND(AA$5&gt;=$B11,AA$5&lt;=$C11,$C11&gt;=$B11),IF($E11="Ramp",IF(RampWeightSum&gt;0,$D11*AA$20/RampWeightSum,0),$D11/($C11-$B11+1)),0)</f>
        <v>365.097817518382</v>
      </c>
      <c r="AB11" s="22" t="n">
        <f aca="false">IF(AND(AB$5&gt;=$B11,AB$5&lt;=$C11,$C11&gt;=$B11),IF($E11="Ramp",IF(RampWeightSum&gt;0,$D11*AB$20/RampWeightSum,0),$D11/($C11-$B11+1)),0)</f>
        <v>365.097817518382</v>
      </c>
      <c r="AC11" s="22" t="n">
        <f aca="false">IF(AND(AC$5&gt;=$B11,AC$5&lt;=$C11,$C11&gt;=$B11),IF($E11="Ramp",IF(RampWeightSum&gt;0,$D11*AC$20/RampWeightSum,0),$D11/($C11-$B11+1)),0)</f>
        <v>365.097817518382</v>
      </c>
      <c r="AD11" s="22" t="n">
        <f aca="false">IF(AND(AD$5&gt;=$B11,AD$5&lt;=$C11,$C11&gt;=$B11),IF($E11="Ramp",IF(RampWeightSum&gt;0,$D11*AD$20/RampWeightSum,0),$D11/($C11-$B11+1)),0)</f>
        <v>365.097817518382</v>
      </c>
      <c r="AE11" s="22" t="n">
        <f aca="false">IF(AND(AE$5&gt;=$B11,AE$5&lt;=$C11,$C11&gt;=$B11),IF($E11="Ramp",IF(RampWeightSum&gt;0,$D11*AE$20/RampWeightSum,0),$D11/($C11-$B11+1)),0)</f>
        <v>273.823363138787</v>
      </c>
      <c r="AF11" s="22" t="n">
        <f aca="false">IF(AND(AF$5&gt;=$B11,AF$5&lt;=$C11,$C11&gt;=$B11),IF($E11="Ramp",IF(RampWeightSum&gt;0,$D11*AF$20/RampWeightSum,0),$D11/($C11-$B11+1)),0)</f>
        <v>182.548908759191</v>
      </c>
      <c r="AG11" s="22" t="n">
        <f aca="false">IF(AND(AG$5&gt;=$B11,AG$5&lt;=$C11,$C11&gt;=$B11),IF($E11="Ramp",IF(RampWeightSum&gt;0,$D11*AG$20/RampWeightSum,0),$D11/($C11-$B11+1)),0)</f>
        <v>91.2744543795956</v>
      </c>
      <c r="AH11" s="22" t="n">
        <f aca="false">IF(AND(AH$5&gt;=$B11,AH$5&lt;=$C11,$C11&gt;=$B11),IF($E11="Ramp",IF(RampWeightSum&gt;0,$D11*AH$20/RampWeightSum,0),$D11/($C11-$B11+1)),0)</f>
        <v>0</v>
      </c>
      <c r="AI11" s="22" t="n">
        <f aca="false">IF(AND(AI$5&gt;=$B11,AI$5&lt;=$C11,$C11&gt;=$B11),IF($E11="Ramp",IF(RampWeightSum&gt;0,$D11*AI$20/RampWeightSum,0),$D11/($C11-$B11+1)),0)</f>
        <v>0</v>
      </c>
      <c r="AJ11" s="22" t="n">
        <f aca="false">IF(AND(AJ$5&gt;=$B11,AJ$5&lt;=$C11,$C11&gt;=$B11),IF($E11="Ramp",IF(RampWeightSum&gt;0,$D11*AJ$20/RampWeightSum,0),$D11/($C11-$B11+1)),0)</f>
        <v>0</v>
      </c>
      <c r="AK11" s="22" t="n">
        <f aca="false">IF(AND(AK$5&gt;=$B11,AK$5&lt;=$C11,$C11&gt;=$B11),IF($E11="Ramp",IF(RampWeightSum&gt;0,$D11*AK$20/RampWeightSum,0),$D11/($C11-$B11+1)),0)</f>
        <v>0</v>
      </c>
      <c r="AL11" s="22" t="n">
        <f aca="false">IF(AND(AL$5&gt;=$B11,AL$5&lt;=$C11,$C11&gt;=$B11),IF($E11="Ramp",IF(RampWeightSum&gt;0,$D11*AL$20/RampWeightSum,0),$D11/($C11-$B11+1)),0)</f>
        <v>0</v>
      </c>
      <c r="AM11" s="22" t="n">
        <f aca="false">IF(AND(AM$5&gt;=$B11,AM$5&lt;=$C11,$C11&gt;=$B11),IF($E11="Ramp",IF(RampWeightSum&gt;0,$D11*AM$20/RampWeightSum,0),$D11/($C11-$B11+1)),0)</f>
        <v>0</v>
      </c>
      <c r="AN11" s="22" t="n">
        <f aca="false">IF(AND(AN$5&gt;=$B11,AN$5&lt;=$C11,$C11&gt;=$B11),IF($E11="Ramp",IF(RampWeightSum&gt;0,$D11*AN$20/RampWeightSum,0),$D11/($C11-$B11+1)),0)</f>
        <v>0</v>
      </c>
      <c r="AO11" s="22" t="n">
        <f aca="false">IF(AND(AO$5&gt;=$B11,AO$5&lt;=$C11,$C11&gt;=$B11),IF($E11="Ramp",IF(RampWeightSum&gt;0,$D11*AO$20/RampWeightSum,0),$D11/($C11-$B11+1)),0)</f>
        <v>0</v>
      </c>
      <c r="AP11" s="22" t="n">
        <f aca="false">IF(AND(AP$5&gt;=$B11,AP$5&lt;=$C11,$C11&gt;=$B11),IF($E11="Ramp",IF(RampWeightSum&gt;0,$D11*AP$20/RampWeightSum,0),$D11/($C11-$B11+1)),0)</f>
        <v>0</v>
      </c>
      <c r="AQ11" s="22" t="n">
        <f aca="false">IF(AND(AQ$5&gt;=$B11,AQ$5&lt;=$C11,$C11&gt;=$B11),IF($E11="Ramp",IF(RampWeightSum&gt;0,$D11*AQ$20/RampWeightSum,0),$D11/($C11-$B11+1)),0)</f>
        <v>0</v>
      </c>
      <c r="AR11" s="22" t="n">
        <f aca="false">IF(AND(AR$5&gt;=$B11,AR$5&lt;=$C11,$C11&gt;=$B11),IF($E11="Ramp",IF(RampWeightSum&gt;0,$D11*AR$20/RampWeightSum,0),$D11/($C11-$B11+1)),0)</f>
        <v>0</v>
      </c>
      <c r="AS11" s="22" t="n">
        <f aca="false">IF(AND(AS$5&gt;=$B11,AS$5&lt;=$C11,$C11&gt;=$B11),IF($E11="Ramp",IF(RampWeightSum&gt;0,$D11*AS$20/RampWeightSum,0),$D11/($C11-$B11+1)),0)</f>
        <v>0</v>
      </c>
      <c r="AT11" s="22" t="n">
        <f aca="false">IF(AND(AT$5&gt;=$B11,AT$5&lt;=$C11,$C11&gt;=$B11),IF($E11="Ramp",IF(RampWeightSum&gt;0,$D11*AT$20/RampWeightSum,0),$D11/($C11-$B11+1)),0)</f>
        <v>0</v>
      </c>
      <c r="AU11" s="22" t="n">
        <f aca="false">IF(AND(AU$5&gt;=$B11,AU$5&lt;=$C11,$C11&gt;=$B11),IF($E11="Ramp",IF(RampWeightSum&gt;0,$D11*AU$20/RampWeightSum,0),$D11/($C11-$B11+1)),0)</f>
        <v>0</v>
      </c>
      <c r="AV11" s="22" t="n">
        <f aca="false">IF(AND(AV$5&gt;=$B11,AV$5&lt;=$C11,$C11&gt;=$B11),IF($E11="Ramp",IF(RampWeightSum&gt;0,$D11*AV$20/RampWeightSum,0),$D11/($C11-$B11+1)),0)</f>
        <v>0</v>
      </c>
      <c r="AW11" s="22" t="n">
        <f aca="false">IF(AND(AW$5&gt;=$B11,AW$5&lt;=$C11,$C11&gt;=$B11),IF($E11="Ramp",IF(RampWeightSum&gt;0,$D11*AW$20/RampWeightSum,0),$D11/($C11-$B11+1)),0)</f>
        <v>0</v>
      </c>
      <c r="AX11" s="22" t="n">
        <f aca="false">IF(AND(AX$5&gt;=$B11,AX$5&lt;=$C11,$C11&gt;=$B11),IF($E11="Ramp",IF(RampWeightSum&gt;0,$D11*AX$20/RampWeightSum,0),$D11/($C11-$B11+1)),0)</f>
        <v>0</v>
      </c>
      <c r="AY11" s="22" t="n">
        <f aca="false">IF(AND(AY$5&gt;=$B11,AY$5&lt;=$C11,$C11&gt;=$B11),IF($E11="Ramp",IF(RampWeightSum&gt;0,$D11*AY$20/RampWeightSum,0),$D11/($C11-$B11+1)),0)</f>
        <v>0</v>
      </c>
      <c r="AZ11" s="22" t="n">
        <f aca="false">IF(AND(AZ$5&gt;=$B11,AZ$5&lt;=$C11,$C11&gt;=$B11),IF($E11="Ramp",IF(RampWeightSum&gt;0,$D11*AZ$20/RampWeightSum,0),$D11/($C11-$B11+1)),0)</f>
        <v>0</v>
      </c>
      <c r="BA11" s="22" t="n">
        <f aca="false">IF(AND(BA$5&gt;=$B11,BA$5&lt;=$C11,$C11&gt;=$B11),IF($E11="Ramp",IF(RampWeightSum&gt;0,$D11*BA$20/RampWeightSum,0),$D11/($C11-$B11+1)),0)</f>
        <v>0</v>
      </c>
      <c r="BB11" s="22" t="n">
        <f aca="false">IF(AND(BB$5&gt;=$B11,BB$5&lt;=$C11,$C11&gt;=$B11),IF($E11="Ramp",IF(RampWeightSum&gt;0,$D11*BB$20/RampWeightSum,0),$D11/($C11-$B11+1)),0)</f>
        <v>0</v>
      </c>
      <c r="BC11" s="22" t="n">
        <f aca="false">IF(AND(BC$5&gt;=$B11,BC$5&lt;=$C11,$C11&gt;=$B11),IF($E11="Ramp",IF(RampWeightSum&gt;0,$D11*BC$20/RampWeightSum,0),$D11/($C11-$B11+1)),0)</f>
        <v>0</v>
      </c>
      <c r="BD11" s="22" t="n">
        <f aca="false">IF(AND(BD$5&gt;=$B11,BD$5&lt;=$C11,$C11&gt;=$B11),IF($E11="Ramp",IF(RampWeightSum&gt;0,$D11*BD$20/RampWeightSum,0),$D11/($C11-$B11+1)),0)</f>
        <v>0</v>
      </c>
      <c r="BE11" s="22" t="n">
        <f aca="false">IF(AND(BE$5&gt;=$B11,BE$5&lt;=$C11,$C11&gt;=$B11),IF($E11="Ramp",IF(RampWeightSum&gt;0,$D11*BE$20/RampWeightSum,0),$D11/($C11-$B11+1)),0)</f>
        <v>0</v>
      </c>
      <c r="BF11" s="22" t="n">
        <f aca="false">IF(AND(BF$5&gt;=$B11,BF$5&lt;=$C11,$C11&gt;=$B11),IF($E11="Ramp",IF(RampWeightSum&gt;0,$D11*BF$20/RampWeightSum,0),$D11/($C11-$B11+1)),0)</f>
        <v>0</v>
      </c>
      <c r="BG11" s="22" t="n">
        <f aca="false">IF(AND(BG$5&gt;=$B11,BG$5&lt;=$C11,$C11&gt;=$B11),IF($E11="Ramp",IF(RampWeightSum&gt;0,$D11*BG$20/RampWeightSum,0),$D11/($C11-$B11+1)),0)</f>
        <v>0</v>
      </c>
      <c r="BH11" s="22" t="n">
        <f aca="false">IF(AND(BH$5&gt;=$B11,BH$5&lt;=$C11,$C11&gt;=$B11),IF($E11="Ramp",IF(RampWeightSum&gt;0,$D11*BH$20/RampWeightSum,0),$D11/($C11-$B11+1)),0)</f>
        <v>0</v>
      </c>
      <c r="BI11" s="22" t="n">
        <f aca="false">IF(AND(BI$5&gt;=$B11,BI$5&lt;=$C11,$C11&gt;=$B11),IF($E11="Ramp",IF(RampWeightSum&gt;0,$D11*BI$20/RampWeightSum,0),$D11/($C11-$B11+1)),0)</f>
        <v>0</v>
      </c>
      <c r="BJ11" s="22" t="n">
        <f aca="false">IF(AND(BJ$5&gt;=$B11,BJ$5&lt;=$C11,$C11&gt;=$B11),IF($E11="Ramp",IF(RampWeightSum&gt;0,$D11*BJ$20/RampWeightSum,0),$D11/($C11-$B11+1)),0)</f>
        <v>0</v>
      </c>
      <c r="BK11" s="22" t="n">
        <f aca="false">IF(AND(BK$5&gt;=$B11,BK$5&lt;=$C11,$C11&gt;=$B11),IF($E11="Ramp",IF(RampWeightSum&gt;0,$D11*BK$20/RampWeightSum,0),$D11/($C11-$B11+1)),0)</f>
        <v>0</v>
      </c>
      <c r="BL11" s="22" t="n">
        <f aca="false">IF(AND(BL$5&gt;=$B11,BL$5&lt;=$C11,$C11&gt;=$B11),IF($E11="Ramp",IF(RampWeightSum&gt;0,$D11*BL$20/RampWeightSum,0),$D11/($C11-$B11+1)),0)</f>
        <v>0</v>
      </c>
      <c r="BM11" s="22" t="n">
        <f aca="false">IF(AND(BM$5&gt;=$B11,BM$5&lt;=$C11,$C11&gt;=$B11),IF($E11="Ramp",IF(RampWeightSum&gt;0,$D11*BM$20/RampWeightSum,0),$D11/($C11-$B11+1)),0)</f>
        <v>0</v>
      </c>
      <c r="BN11" s="22" t="n">
        <f aca="false">IF(AND(BN$5&gt;=$B11,BN$5&lt;=$C11,$C11&gt;=$B11),IF($E11="Ramp",IF(RampWeightSum&gt;0,$D11*BN$20/RampWeightSum,0),$D11/($C11-$B11+1)),0)</f>
        <v>0</v>
      </c>
      <c r="BO11" s="22" t="n">
        <f aca="false">IF(AND(BO$5&gt;=$B11,BO$5&lt;=$C11,$C11&gt;=$B11),IF($E11="Ramp",IF(RampWeightSum&gt;0,$D11*BO$20/RampWeightSum,0),$D11/($C11-$B11+1)),0)</f>
        <v>0</v>
      </c>
      <c r="BP11" s="22" t="n">
        <f aca="false">IF(AND(BP$5&gt;=$B11,BP$5&lt;=$C11,$C11&gt;=$B11),IF($E11="Ramp",IF(RampWeightSum&gt;0,$D11*BP$20/RampWeightSum,0),$D11/($C11-$B11+1)),0)</f>
        <v>0</v>
      </c>
      <c r="BQ11" s="22" t="n">
        <f aca="false">IF(AND(BQ$5&gt;=$B11,BQ$5&lt;=$C11,$C11&gt;=$B11),IF($E11="Ramp",IF(RampWeightSum&gt;0,$D11*BQ$20/RampWeightSum,0),$D11/($C11-$B11+1)),0)</f>
        <v>0</v>
      </c>
      <c r="BR11" s="22" t="n">
        <f aca="false">IF(AND(BR$5&gt;=$B11,BR$5&lt;=$C11,$C11&gt;=$B11),IF($E11="Ramp",IF(RampWeightSum&gt;0,$D11*BR$20/RampWeightSum,0),$D11/($C11-$B11+1)),0)</f>
        <v>0</v>
      </c>
      <c r="BS11" s="22" t="n">
        <f aca="false">IF(AND(BS$5&gt;=$B11,BS$5&lt;=$C11,$C11&gt;=$B11),IF($E11="Ramp",IF(RampWeightSum&gt;0,$D11*BS$20/RampWeightSum,0),$D11/($C11-$B11+1)),0)</f>
        <v>0</v>
      </c>
      <c r="BT11" s="22" t="n">
        <f aca="false">IF(AND(BT$5&gt;=$B11,BT$5&lt;=$C11,$C11&gt;=$B11),IF($E11="Ramp",IF(RampWeightSum&gt;0,$D11*BT$20/RampWeightSum,0),$D11/($C11-$B11+1)),0)</f>
        <v>0</v>
      </c>
      <c r="BU11" s="22" t="n">
        <f aca="false">IF(AND(BU$5&gt;=$B11,BU$5&lt;=$C11,$C11&gt;=$B11),IF($E11="Ramp",IF(RampWeightSum&gt;0,$D11*BU$20/RampWeightSum,0),$D11/($C11-$B11+1)),0)</f>
        <v>0</v>
      </c>
      <c r="BV11" s="22" t="n">
        <f aca="false">IF(AND(BV$5&gt;=$B11,BV$5&lt;=$C11,$C11&gt;=$B11),IF($E11="Ramp",IF(RampWeightSum&gt;0,$D11*BV$20/RampWeightSum,0),$D11/($C11-$B11+1)),0)</f>
        <v>0</v>
      </c>
      <c r="BW11" s="22" t="n">
        <f aca="false">IF(AND(BW$5&gt;=$B11,BW$5&lt;=$C11,$C11&gt;=$B11),IF($E11="Ramp",IF(RampWeightSum&gt;0,$D11*BW$20/RampWeightSum,0),$D11/($C11-$B11+1)),0)</f>
        <v>0</v>
      </c>
      <c r="BX11" s="22" t="n">
        <f aca="false">IF(AND(BX$5&gt;=$B11,BX$5&lt;=$C11,$C11&gt;=$B11),IF($E11="Ramp",IF(RampWeightSum&gt;0,$D11*BX$20/RampWeightSum,0),$D11/($C11-$B11+1)),0)</f>
        <v>0</v>
      </c>
      <c r="BY11" s="22" t="n">
        <f aca="false">IF(AND(BY$5&gt;=$B11,BY$5&lt;=$C11,$C11&gt;=$B11),IF($E11="Ramp",IF(RampWeightSum&gt;0,$D11*BY$20/RampWeightSum,0),$D11/($C11-$B11+1)),0)</f>
        <v>0</v>
      </c>
      <c r="BZ11" s="22" t="n">
        <f aca="false">IF(AND(BZ$5&gt;=$B11,BZ$5&lt;=$C11,$C11&gt;=$B11),IF($E11="Ramp",IF(RampWeightSum&gt;0,$D11*BZ$20/RampWeightSum,0),$D11/($C11-$B11+1)),0)</f>
        <v>0</v>
      </c>
      <c r="CA11" s="22" t="n">
        <f aca="false">IF(AND(CA$5&gt;=$B11,CA$5&lt;=$C11,$C11&gt;=$B11),IF($E11="Ramp",IF(RampWeightSum&gt;0,$D11*CA$20/RampWeightSum,0),$D11/($C11-$B11+1)),0)</f>
        <v>0</v>
      </c>
      <c r="CB11" s="22" t="n">
        <f aca="false">IF(AND(CB$5&gt;=$B11,CB$5&lt;=$C11,$C11&gt;=$B11),IF($E11="Ramp",IF(RampWeightSum&gt;0,$D11*CB$20/RampWeightSum,0),$D11/($C11-$B11+1)),0)</f>
        <v>0</v>
      </c>
      <c r="CC11" s="22" t="n">
        <f aca="false">IF(AND(CC$5&gt;=$B11,CC$5&lt;=$C11,$C11&gt;=$B11),IF($E11="Ramp",IF(RampWeightSum&gt;0,$D11*CC$20/RampWeightSum,0),$D11/($C11-$B11+1)),0)</f>
        <v>0</v>
      </c>
      <c r="CD11" s="22" t="n">
        <f aca="false">IF(AND(CD$5&gt;=$B11,CD$5&lt;=$C11,$C11&gt;=$B11),IF($E11="Ramp",IF(RampWeightSum&gt;0,$D11*CD$20/RampWeightSum,0),$D11/($C11-$B11+1)),0)</f>
        <v>0</v>
      </c>
      <c r="CE11" s="22" t="n">
        <f aca="false">IF(AND(CE$5&gt;=$B11,CE$5&lt;=$C11,$C11&gt;=$B11),IF($E11="Ramp",IF(RampWeightSum&gt;0,$D11*CE$20/RampWeightSum,0),$D11/($C11-$B11+1)),0)</f>
        <v>0</v>
      </c>
      <c r="CF11" s="22" t="n">
        <f aca="false">IF(AND(CF$5&gt;=$B11,CF$5&lt;=$C11,$C11&gt;=$B11),IF($E11="Ramp",IF(RampWeightSum&gt;0,$D11*CF$20/RampWeightSum,0),$D11/($C11-$B11+1)),0)</f>
        <v>0</v>
      </c>
      <c r="CG11" s="22" t="n">
        <f aca="false">IF(AND(CG$5&gt;=$B11,CG$5&lt;=$C11,$C11&gt;=$B11),IF($E11="Ramp",IF(RampWeightSum&gt;0,$D11*CG$20/RampWeightSum,0),$D11/($C11-$B11+1)),0)</f>
        <v>0</v>
      </c>
      <c r="CH11" s="22" t="n">
        <f aca="false">IF(AND(CH$5&gt;=$B11,CH$5&lt;=$C11,$C11&gt;=$B11),IF($E11="Ramp",IF(RampWeightSum&gt;0,$D11*CH$20/RampWeightSum,0),$D11/($C11-$B11+1)),0)</f>
        <v>0</v>
      </c>
      <c r="CI11" s="22" t="n">
        <f aca="false">IF(AND(CI$5&gt;=$B11,CI$5&lt;=$C11,$C11&gt;=$B11),IF($E11="Ramp",IF(RampWeightSum&gt;0,$D11*CI$20/RampWeightSum,0),$D11/($C11-$B11+1)),0)</f>
        <v>0</v>
      </c>
      <c r="CJ11" s="22" t="n">
        <f aca="false">IF(AND(CJ$5&gt;=$B11,CJ$5&lt;=$C11,$C11&gt;=$B11),IF($E11="Ramp",IF(RampWeightSum&gt;0,$D11*CJ$20/RampWeightSum,0),$D11/($C11-$B11+1)),0)</f>
        <v>0</v>
      </c>
      <c r="CK11" s="22" t="n">
        <f aca="false">IF(AND(CK$5&gt;=$B11,CK$5&lt;=$C11,$C11&gt;=$B11),IF($E11="Ramp",IF(RampWeightSum&gt;0,$D11*CK$20/RampWeightSum,0),$D11/($C11-$B11+1)),0)</f>
        <v>0</v>
      </c>
      <c r="CL11" s="22" t="n">
        <f aca="false">IF(AND(CL$5&gt;=$B11,CL$5&lt;=$C11,$C11&gt;=$B11),IF($E11="Ramp",IF(RampWeightSum&gt;0,$D11*CL$20/RampWeightSum,0),$D11/($C11-$B11+1)),0)</f>
        <v>0</v>
      </c>
      <c r="CM11" s="22" t="n">
        <f aca="false">IF(AND(CM$5&gt;=$B11,CM$5&lt;=$C11,$C11&gt;=$B11),IF($E11="Ramp",IF(RampWeightSum&gt;0,$D11*CM$20/RampWeightSum,0),$D11/($C11-$B11+1)),0)</f>
        <v>0</v>
      </c>
      <c r="CN11" s="22" t="n">
        <f aca="false">IF(AND(CN$5&gt;=$B11,CN$5&lt;=$C11,$C11&gt;=$B11),IF($E11="Ramp",IF(RampWeightSum&gt;0,$D11*CN$20/RampWeightSum,0),$D11/($C11-$B11+1)),0)</f>
        <v>0</v>
      </c>
      <c r="CO11" s="22" t="n">
        <f aca="false">IF(AND(CO$5&gt;=$B11,CO$5&lt;=$C11,$C11&gt;=$B11),IF($E11="Ramp",IF(RampWeightSum&gt;0,$D11*CO$20/RampWeightSum,0),$D11/($C11-$B11+1)),0)</f>
        <v>0</v>
      </c>
      <c r="CP11" s="22" t="n">
        <f aca="false">IF(AND(CP$5&gt;=$B11,CP$5&lt;=$C11,$C11&gt;=$B11),IF($E11="Ramp",IF(RampWeightSum&gt;0,$D11*CP$20/RampWeightSum,0),$D11/($C11-$B11+1)),0)</f>
        <v>0</v>
      </c>
      <c r="CQ11" s="22" t="n">
        <f aca="false">IF(AND(CQ$5&gt;=$B11,CQ$5&lt;=$C11,$C11&gt;=$B11),IF($E11="Ramp",IF(RampWeightSum&gt;0,$D11*CQ$20/RampWeightSum,0),$D11/($C11-$B11+1)),0)</f>
        <v>0</v>
      </c>
      <c r="CR11" s="22" t="n">
        <f aca="false">IF(AND(CR$5&gt;=$B11,CR$5&lt;=$C11,$C11&gt;=$B11),IF($E11="Ramp",IF(RampWeightSum&gt;0,$D11*CR$20/RampWeightSum,0),$D11/($C11-$B11+1)),0)</f>
        <v>0</v>
      </c>
      <c r="CS11" s="22" t="n">
        <f aca="false">IF(AND(CS$5&gt;=$B11,CS$5&lt;=$C11,$C11&gt;=$B11),IF($E11="Ramp",IF(RampWeightSum&gt;0,$D11*CS$20/RampWeightSum,0),$D11/($C11-$B11+1)),0)</f>
        <v>0</v>
      </c>
      <c r="CT11" s="22" t="n">
        <f aca="false">IF(AND(CT$5&gt;=$B11,CT$5&lt;=$C11,$C11&gt;=$B11),IF($E11="Ramp",IF(RampWeightSum&gt;0,$D11*CT$20/RampWeightSum,0),$D11/($C11-$B11+1)),0)</f>
        <v>0</v>
      </c>
      <c r="CU11" s="22" t="n">
        <f aca="false">IF(AND(CU$5&gt;=$B11,CU$5&lt;=$C11,$C11&gt;=$B11),IF($E11="Ramp",IF(RampWeightSum&gt;0,$D11*CU$20/RampWeightSum,0),$D11/($C11-$B11+1)),0)</f>
        <v>0</v>
      </c>
      <c r="CV11" s="22" t="n">
        <f aca="false">IF(AND(CV$5&gt;=$B11,CV$5&lt;=$C11,$C11&gt;=$B11),IF($E11="Ramp",IF(RampWeightSum&gt;0,$D11*CV$20/RampWeightSum,0),$D11/($C11-$B11+1)),0)</f>
        <v>0</v>
      </c>
      <c r="CW11" s="22" t="n">
        <f aca="false">IF(AND(CW$5&gt;=$B11,CW$5&lt;=$C11,$C11&gt;=$B11),IF($E11="Ramp",IF(RampWeightSum&gt;0,$D11*CW$20/RampWeightSum,0),$D11/($C11-$B11+1)),0)</f>
        <v>0</v>
      </c>
      <c r="CX11" s="22" t="n">
        <f aca="false">IF(AND(CX$5&gt;=$B11,CX$5&lt;=$C11,$C11&gt;=$B11),IF($E11="Ramp",IF(RampWeightSum&gt;0,$D11*CX$20/RampWeightSum,0),$D11/($C11-$B11+1)),0)</f>
        <v>0</v>
      </c>
      <c r="CY11" s="22" t="n">
        <f aca="false">IF(AND(CY$5&gt;=$B11,CY$5&lt;=$C11,$C11&gt;=$B11),IF($E11="Ramp",IF(RampWeightSum&gt;0,$D11*CY$20/RampWeightSum,0),$D11/($C11-$B11+1)),0)</f>
        <v>0</v>
      </c>
      <c r="CZ11" s="22" t="n">
        <f aca="false">IF(AND(CZ$5&gt;=$B11,CZ$5&lt;=$C11,$C11&gt;=$B11),IF($E11="Ramp",IF(RampWeightSum&gt;0,$D11*CZ$20/RampWeightSum,0),$D11/($C11-$B11+1)),0)</f>
        <v>0</v>
      </c>
      <c r="DA11" s="22" t="n">
        <f aca="false">IF(AND(DA$5&gt;=$B11,DA$5&lt;=$C11,$C11&gt;=$B11),IF($E11="Ramp",IF(RampWeightSum&gt;0,$D11*DA$20/RampWeightSum,0),$D11/($C11-$B11+1)),0)</f>
        <v>0</v>
      </c>
      <c r="DB11" s="22" t="n">
        <f aca="false">IF(AND(DB$5&gt;=$B11,DB$5&lt;=$C11,$C11&gt;=$B11),IF($E11="Ramp",IF(RampWeightSum&gt;0,$D11*DB$20/RampWeightSum,0),$D11/($C11-$B11+1)),0)</f>
        <v>0</v>
      </c>
      <c r="DC11" s="22" t="n">
        <f aca="false">IF(AND(DC$5&gt;=$B11,DC$5&lt;=$C11,$C11&gt;=$B11),IF($E11="Ramp",IF(RampWeightSum&gt;0,$D11*DC$20/RampWeightSum,0),$D11/($C11-$B11+1)),0)</f>
        <v>0</v>
      </c>
      <c r="DD11" s="22" t="n">
        <f aca="false">IF(AND(DD$5&gt;=$B11,DD$5&lt;=$C11,$C11&gt;=$B11),IF($E11="Ramp",IF(RampWeightSum&gt;0,$D11*DD$20/RampWeightSum,0),$D11/($C11-$B11+1)),0)</f>
        <v>0</v>
      </c>
      <c r="DE11" s="22" t="n">
        <f aca="false">IF(AND(DE$5&gt;=$B11,DE$5&lt;=$C11,$C11&gt;=$B11),IF($E11="Ramp",IF(RampWeightSum&gt;0,$D11*DE$20/RampWeightSum,0),$D11/($C11-$B11+1)),0)</f>
        <v>0</v>
      </c>
    </row>
    <row r="12" customFormat="false" ht="15" hidden="false" customHeight="false" outlineLevel="0" collapsed="false">
      <c r="A12" s="9" t="s">
        <v>86</v>
      </c>
      <c r="B12" s="29" t="n">
        <f aca="false">INDEX(PhStart,5)</f>
        <v>11</v>
      </c>
      <c r="C12" s="29" t="n">
        <f aca="false">INDEX(PhEnd,5)</f>
        <v>31</v>
      </c>
      <c r="D12" s="22" t="n">
        <f aca="false">INDEX(PhaseHours,5)</f>
        <v>1840</v>
      </c>
      <c r="E12" s="9" t="str">
        <f aca="false">Schedule!E50</f>
        <v>Flat</v>
      </c>
      <c r="F12" s="22" t="n">
        <f aca="false">IF(AND(F$5&gt;=$B12,F$5&lt;=$C12,$C12&gt;=$B12),IF($E12="Ramp",IF(RampWeightSum&gt;0,$D12*F$20/RampWeightSum,0),$D12/($C12-$B12+1)),0)</f>
        <v>0</v>
      </c>
      <c r="G12" s="22" t="n">
        <f aca="false">IF(AND(G$5&gt;=$B12,G$5&lt;=$C12,$C12&gt;=$B12),IF($E12="Ramp",IF(RampWeightSum&gt;0,$D12*G$20/RampWeightSum,0),$D12/($C12-$B12+1)),0)</f>
        <v>0</v>
      </c>
      <c r="H12" s="22" t="n">
        <f aca="false">IF(AND(H$5&gt;=$B12,H$5&lt;=$C12,$C12&gt;=$B12),IF($E12="Ramp",IF(RampWeightSum&gt;0,$D12*H$20/RampWeightSum,0),$D12/($C12-$B12+1)),0)</f>
        <v>0</v>
      </c>
      <c r="I12" s="22" t="n">
        <f aca="false">IF(AND(I$5&gt;=$B12,I$5&lt;=$C12,$C12&gt;=$B12),IF($E12="Ramp",IF(RampWeightSum&gt;0,$D12*I$20/RampWeightSum,0),$D12/($C12-$B12+1)),0)</f>
        <v>0</v>
      </c>
      <c r="J12" s="22" t="n">
        <f aca="false">IF(AND(J$5&gt;=$B12,J$5&lt;=$C12,$C12&gt;=$B12),IF($E12="Ramp",IF(RampWeightSum&gt;0,$D12*J$20/RampWeightSum,0),$D12/($C12-$B12+1)),0)</f>
        <v>0</v>
      </c>
      <c r="K12" s="22" t="n">
        <f aca="false">IF(AND(K$5&gt;=$B12,K$5&lt;=$C12,$C12&gt;=$B12),IF($E12="Ramp",IF(RampWeightSum&gt;0,$D12*K$20/RampWeightSum,0),$D12/($C12-$B12+1)),0)</f>
        <v>0</v>
      </c>
      <c r="L12" s="22" t="n">
        <f aca="false">IF(AND(L$5&gt;=$B12,L$5&lt;=$C12,$C12&gt;=$B12),IF($E12="Ramp",IF(RampWeightSum&gt;0,$D12*L$20/RampWeightSum,0),$D12/($C12-$B12+1)),0)</f>
        <v>0</v>
      </c>
      <c r="M12" s="22" t="n">
        <f aca="false">IF(AND(M$5&gt;=$B12,M$5&lt;=$C12,$C12&gt;=$B12),IF($E12="Ramp",IF(RampWeightSum&gt;0,$D12*M$20/RampWeightSum,0),$D12/($C12-$B12+1)),0)</f>
        <v>0</v>
      </c>
      <c r="N12" s="22" t="n">
        <f aca="false">IF(AND(N$5&gt;=$B12,N$5&lt;=$C12,$C12&gt;=$B12),IF($E12="Ramp",IF(RampWeightSum&gt;0,$D12*N$20/RampWeightSum,0),$D12/($C12-$B12+1)),0)</f>
        <v>0</v>
      </c>
      <c r="O12" s="22" t="n">
        <f aca="false">IF(AND(O$5&gt;=$B12,O$5&lt;=$C12,$C12&gt;=$B12),IF($E12="Ramp",IF(RampWeightSum&gt;0,$D12*O$20/RampWeightSum,0),$D12/($C12-$B12+1)),0)</f>
        <v>0</v>
      </c>
      <c r="P12" s="22" t="n">
        <f aca="false">IF(AND(P$5&gt;=$B12,P$5&lt;=$C12,$C12&gt;=$B12),IF($E12="Ramp",IF(RampWeightSum&gt;0,$D12*P$20/RampWeightSum,0),$D12/($C12-$B12+1)),0)</f>
        <v>87.6190476190476</v>
      </c>
      <c r="Q12" s="22" t="n">
        <f aca="false">IF(AND(Q$5&gt;=$B12,Q$5&lt;=$C12,$C12&gt;=$B12),IF($E12="Ramp",IF(RampWeightSum&gt;0,$D12*Q$20/RampWeightSum,0),$D12/($C12-$B12+1)),0)</f>
        <v>87.6190476190476</v>
      </c>
      <c r="R12" s="22" t="n">
        <f aca="false">IF(AND(R$5&gt;=$B12,R$5&lt;=$C12,$C12&gt;=$B12),IF($E12="Ramp",IF(RampWeightSum&gt;0,$D12*R$20/RampWeightSum,0),$D12/($C12-$B12+1)),0)</f>
        <v>87.6190476190476</v>
      </c>
      <c r="S12" s="22" t="n">
        <f aca="false">IF(AND(S$5&gt;=$B12,S$5&lt;=$C12,$C12&gt;=$B12),IF($E12="Ramp",IF(RampWeightSum&gt;0,$D12*S$20/RampWeightSum,0),$D12/($C12-$B12+1)),0)</f>
        <v>87.6190476190476</v>
      </c>
      <c r="T12" s="22" t="n">
        <f aca="false">IF(AND(T$5&gt;=$B12,T$5&lt;=$C12,$C12&gt;=$B12),IF($E12="Ramp",IF(RampWeightSum&gt;0,$D12*T$20/RampWeightSum,0),$D12/($C12-$B12+1)),0)</f>
        <v>87.6190476190476</v>
      </c>
      <c r="U12" s="22" t="n">
        <f aca="false">IF(AND(U$5&gt;=$B12,U$5&lt;=$C12,$C12&gt;=$B12),IF($E12="Ramp",IF(RampWeightSum&gt;0,$D12*U$20/RampWeightSum,0),$D12/($C12-$B12+1)),0)</f>
        <v>87.6190476190476</v>
      </c>
      <c r="V12" s="22" t="n">
        <f aca="false">IF(AND(V$5&gt;=$B12,V$5&lt;=$C12,$C12&gt;=$B12),IF($E12="Ramp",IF(RampWeightSum&gt;0,$D12*V$20/RampWeightSum,0),$D12/($C12-$B12+1)),0)</f>
        <v>87.6190476190476</v>
      </c>
      <c r="W12" s="22" t="n">
        <f aca="false">IF(AND(W$5&gt;=$B12,W$5&lt;=$C12,$C12&gt;=$B12),IF($E12="Ramp",IF(RampWeightSum&gt;0,$D12*W$20/RampWeightSum,0),$D12/($C12-$B12+1)),0)</f>
        <v>87.6190476190476</v>
      </c>
      <c r="X12" s="22" t="n">
        <f aca="false">IF(AND(X$5&gt;=$B12,X$5&lt;=$C12,$C12&gt;=$B12),IF($E12="Ramp",IF(RampWeightSum&gt;0,$D12*X$20/RampWeightSum,0),$D12/($C12-$B12+1)),0)</f>
        <v>87.6190476190476</v>
      </c>
      <c r="Y12" s="22" t="n">
        <f aca="false">IF(AND(Y$5&gt;=$B12,Y$5&lt;=$C12,$C12&gt;=$B12),IF($E12="Ramp",IF(RampWeightSum&gt;0,$D12*Y$20/RampWeightSum,0),$D12/($C12-$B12+1)),0)</f>
        <v>87.6190476190476</v>
      </c>
      <c r="Z12" s="22" t="n">
        <f aca="false">IF(AND(Z$5&gt;=$B12,Z$5&lt;=$C12,$C12&gt;=$B12),IF($E12="Ramp",IF(RampWeightSum&gt;0,$D12*Z$20/RampWeightSum,0),$D12/($C12-$B12+1)),0)</f>
        <v>87.6190476190476</v>
      </c>
      <c r="AA12" s="22" t="n">
        <f aca="false">IF(AND(AA$5&gt;=$B12,AA$5&lt;=$C12,$C12&gt;=$B12),IF($E12="Ramp",IF(RampWeightSum&gt;0,$D12*AA$20/RampWeightSum,0),$D12/($C12-$B12+1)),0)</f>
        <v>87.6190476190476</v>
      </c>
      <c r="AB12" s="22" t="n">
        <f aca="false">IF(AND(AB$5&gt;=$B12,AB$5&lt;=$C12,$C12&gt;=$B12),IF($E12="Ramp",IF(RampWeightSum&gt;0,$D12*AB$20/RampWeightSum,0),$D12/($C12-$B12+1)),0)</f>
        <v>87.6190476190476</v>
      </c>
      <c r="AC12" s="22" t="n">
        <f aca="false">IF(AND(AC$5&gt;=$B12,AC$5&lt;=$C12,$C12&gt;=$B12),IF($E12="Ramp",IF(RampWeightSum&gt;0,$D12*AC$20/RampWeightSum,0),$D12/($C12-$B12+1)),0)</f>
        <v>87.6190476190476</v>
      </c>
      <c r="AD12" s="22" t="n">
        <f aca="false">IF(AND(AD$5&gt;=$B12,AD$5&lt;=$C12,$C12&gt;=$B12),IF($E12="Ramp",IF(RampWeightSum&gt;0,$D12*AD$20/RampWeightSum,0),$D12/($C12-$B12+1)),0)</f>
        <v>87.6190476190476</v>
      </c>
      <c r="AE12" s="22" t="n">
        <f aca="false">IF(AND(AE$5&gt;=$B12,AE$5&lt;=$C12,$C12&gt;=$B12),IF($E12="Ramp",IF(RampWeightSum&gt;0,$D12*AE$20/RampWeightSum,0),$D12/($C12-$B12+1)),0)</f>
        <v>87.6190476190476</v>
      </c>
      <c r="AF12" s="22" t="n">
        <f aca="false">IF(AND(AF$5&gt;=$B12,AF$5&lt;=$C12,$C12&gt;=$B12),IF($E12="Ramp",IF(RampWeightSum&gt;0,$D12*AF$20/RampWeightSum,0),$D12/($C12-$B12+1)),0)</f>
        <v>87.6190476190476</v>
      </c>
      <c r="AG12" s="22" t="n">
        <f aca="false">IF(AND(AG$5&gt;=$B12,AG$5&lt;=$C12,$C12&gt;=$B12),IF($E12="Ramp",IF(RampWeightSum&gt;0,$D12*AG$20/RampWeightSum,0),$D12/($C12-$B12+1)),0)</f>
        <v>87.6190476190476</v>
      </c>
      <c r="AH12" s="22" t="n">
        <f aca="false">IF(AND(AH$5&gt;=$B12,AH$5&lt;=$C12,$C12&gt;=$B12),IF($E12="Ramp",IF(RampWeightSum&gt;0,$D12*AH$20/RampWeightSum,0),$D12/($C12-$B12+1)),0)</f>
        <v>87.6190476190476</v>
      </c>
      <c r="AI12" s="22" t="n">
        <f aca="false">IF(AND(AI$5&gt;=$B12,AI$5&lt;=$C12,$C12&gt;=$B12),IF($E12="Ramp",IF(RampWeightSum&gt;0,$D12*AI$20/RampWeightSum,0),$D12/($C12-$B12+1)),0)</f>
        <v>87.6190476190476</v>
      </c>
      <c r="AJ12" s="22" t="n">
        <f aca="false">IF(AND(AJ$5&gt;=$B12,AJ$5&lt;=$C12,$C12&gt;=$B12),IF($E12="Ramp",IF(RampWeightSum&gt;0,$D12*AJ$20/RampWeightSum,0),$D12/($C12-$B12+1)),0)</f>
        <v>87.6190476190476</v>
      </c>
      <c r="AK12" s="22" t="n">
        <f aca="false">IF(AND(AK$5&gt;=$B12,AK$5&lt;=$C12,$C12&gt;=$B12),IF($E12="Ramp",IF(RampWeightSum&gt;0,$D12*AK$20/RampWeightSum,0),$D12/($C12-$B12+1)),0)</f>
        <v>0</v>
      </c>
      <c r="AL12" s="22" t="n">
        <f aca="false">IF(AND(AL$5&gt;=$B12,AL$5&lt;=$C12,$C12&gt;=$B12),IF($E12="Ramp",IF(RampWeightSum&gt;0,$D12*AL$20/RampWeightSum,0),$D12/($C12-$B12+1)),0)</f>
        <v>0</v>
      </c>
      <c r="AM12" s="22" t="n">
        <f aca="false">IF(AND(AM$5&gt;=$B12,AM$5&lt;=$C12,$C12&gt;=$B12),IF($E12="Ramp",IF(RampWeightSum&gt;0,$D12*AM$20/RampWeightSum,0),$D12/($C12-$B12+1)),0)</f>
        <v>0</v>
      </c>
      <c r="AN12" s="22" t="n">
        <f aca="false">IF(AND(AN$5&gt;=$B12,AN$5&lt;=$C12,$C12&gt;=$B12),IF($E12="Ramp",IF(RampWeightSum&gt;0,$D12*AN$20/RampWeightSum,0),$D12/($C12-$B12+1)),0)</f>
        <v>0</v>
      </c>
      <c r="AO12" s="22" t="n">
        <f aca="false">IF(AND(AO$5&gt;=$B12,AO$5&lt;=$C12,$C12&gt;=$B12),IF($E12="Ramp",IF(RampWeightSum&gt;0,$D12*AO$20/RampWeightSum,0),$D12/($C12-$B12+1)),0)</f>
        <v>0</v>
      </c>
      <c r="AP12" s="22" t="n">
        <f aca="false">IF(AND(AP$5&gt;=$B12,AP$5&lt;=$C12,$C12&gt;=$B12),IF($E12="Ramp",IF(RampWeightSum&gt;0,$D12*AP$20/RampWeightSum,0),$D12/($C12-$B12+1)),0)</f>
        <v>0</v>
      </c>
      <c r="AQ12" s="22" t="n">
        <f aca="false">IF(AND(AQ$5&gt;=$B12,AQ$5&lt;=$C12,$C12&gt;=$B12),IF($E12="Ramp",IF(RampWeightSum&gt;0,$D12*AQ$20/RampWeightSum,0),$D12/($C12-$B12+1)),0)</f>
        <v>0</v>
      </c>
      <c r="AR12" s="22" t="n">
        <f aca="false">IF(AND(AR$5&gt;=$B12,AR$5&lt;=$C12,$C12&gt;=$B12),IF($E12="Ramp",IF(RampWeightSum&gt;0,$D12*AR$20/RampWeightSum,0),$D12/($C12-$B12+1)),0)</f>
        <v>0</v>
      </c>
      <c r="AS12" s="22" t="n">
        <f aca="false">IF(AND(AS$5&gt;=$B12,AS$5&lt;=$C12,$C12&gt;=$B12),IF($E12="Ramp",IF(RampWeightSum&gt;0,$D12*AS$20/RampWeightSum,0),$D12/($C12-$B12+1)),0)</f>
        <v>0</v>
      </c>
      <c r="AT12" s="22" t="n">
        <f aca="false">IF(AND(AT$5&gt;=$B12,AT$5&lt;=$C12,$C12&gt;=$B12),IF($E12="Ramp",IF(RampWeightSum&gt;0,$D12*AT$20/RampWeightSum,0),$D12/($C12-$B12+1)),0)</f>
        <v>0</v>
      </c>
      <c r="AU12" s="22" t="n">
        <f aca="false">IF(AND(AU$5&gt;=$B12,AU$5&lt;=$C12,$C12&gt;=$B12),IF($E12="Ramp",IF(RampWeightSum&gt;0,$D12*AU$20/RampWeightSum,0),$D12/($C12-$B12+1)),0)</f>
        <v>0</v>
      </c>
      <c r="AV12" s="22" t="n">
        <f aca="false">IF(AND(AV$5&gt;=$B12,AV$5&lt;=$C12,$C12&gt;=$B12),IF($E12="Ramp",IF(RampWeightSum&gt;0,$D12*AV$20/RampWeightSum,0),$D12/($C12-$B12+1)),0)</f>
        <v>0</v>
      </c>
      <c r="AW12" s="22" t="n">
        <f aca="false">IF(AND(AW$5&gt;=$B12,AW$5&lt;=$C12,$C12&gt;=$B12),IF($E12="Ramp",IF(RampWeightSum&gt;0,$D12*AW$20/RampWeightSum,0),$D12/($C12-$B12+1)),0)</f>
        <v>0</v>
      </c>
      <c r="AX12" s="22" t="n">
        <f aca="false">IF(AND(AX$5&gt;=$B12,AX$5&lt;=$C12,$C12&gt;=$B12),IF($E12="Ramp",IF(RampWeightSum&gt;0,$D12*AX$20/RampWeightSum,0),$D12/($C12-$B12+1)),0)</f>
        <v>0</v>
      </c>
      <c r="AY12" s="22" t="n">
        <f aca="false">IF(AND(AY$5&gt;=$B12,AY$5&lt;=$C12,$C12&gt;=$B12),IF($E12="Ramp",IF(RampWeightSum&gt;0,$D12*AY$20/RampWeightSum,0),$D12/($C12-$B12+1)),0)</f>
        <v>0</v>
      </c>
      <c r="AZ12" s="22" t="n">
        <f aca="false">IF(AND(AZ$5&gt;=$B12,AZ$5&lt;=$C12,$C12&gt;=$B12),IF($E12="Ramp",IF(RampWeightSum&gt;0,$D12*AZ$20/RampWeightSum,0),$D12/($C12-$B12+1)),0)</f>
        <v>0</v>
      </c>
      <c r="BA12" s="22" t="n">
        <f aca="false">IF(AND(BA$5&gt;=$B12,BA$5&lt;=$C12,$C12&gt;=$B12),IF($E12="Ramp",IF(RampWeightSum&gt;0,$D12*BA$20/RampWeightSum,0),$D12/($C12-$B12+1)),0)</f>
        <v>0</v>
      </c>
      <c r="BB12" s="22" t="n">
        <f aca="false">IF(AND(BB$5&gt;=$B12,BB$5&lt;=$C12,$C12&gt;=$B12),IF($E12="Ramp",IF(RampWeightSum&gt;0,$D12*BB$20/RampWeightSum,0),$D12/($C12-$B12+1)),0)</f>
        <v>0</v>
      </c>
      <c r="BC12" s="22" t="n">
        <f aca="false">IF(AND(BC$5&gt;=$B12,BC$5&lt;=$C12,$C12&gt;=$B12),IF($E12="Ramp",IF(RampWeightSum&gt;0,$D12*BC$20/RampWeightSum,0),$D12/($C12-$B12+1)),0)</f>
        <v>0</v>
      </c>
      <c r="BD12" s="22" t="n">
        <f aca="false">IF(AND(BD$5&gt;=$B12,BD$5&lt;=$C12,$C12&gt;=$B12),IF($E12="Ramp",IF(RampWeightSum&gt;0,$D12*BD$20/RampWeightSum,0),$D12/($C12-$B12+1)),0)</f>
        <v>0</v>
      </c>
      <c r="BE12" s="22" t="n">
        <f aca="false">IF(AND(BE$5&gt;=$B12,BE$5&lt;=$C12,$C12&gt;=$B12),IF($E12="Ramp",IF(RampWeightSum&gt;0,$D12*BE$20/RampWeightSum,0),$D12/($C12-$B12+1)),0)</f>
        <v>0</v>
      </c>
      <c r="BF12" s="22" t="n">
        <f aca="false">IF(AND(BF$5&gt;=$B12,BF$5&lt;=$C12,$C12&gt;=$B12),IF($E12="Ramp",IF(RampWeightSum&gt;0,$D12*BF$20/RampWeightSum,0),$D12/($C12-$B12+1)),0)</f>
        <v>0</v>
      </c>
      <c r="BG12" s="22" t="n">
        <f aca="false">IF(AND(BG$5&gt;=$B12,BG$5&lt;=$C12,$C12&gt;=$B12),IF($E12="Ramp",IF(RampWeightSum&gt;0,$D12*BG$20/RampWeightSum,0),$D12/($C12-$B12+1)),0)</f>
        <v>0</v>
      </c>
      <c r="BH12" s="22" t="n">
        <f aca="false">IF(AND(BH$5&gt;=$B12,BH$5&lt;=$C12,$C12&gt;=$B12),IF($E12="Ramp",IF(RampWeightSum&gt;0,$D12*BH$20/RampWeightSum,0),$D12/($C12-$B12+1)),0)</f>
        <v>0</v>
      </c>
      <c r="BI12" s="22" t="n">
        <f aca="false">IF(AND(BI$5&gt;=$B12,BI$5&lt;=$C12,$C12&gt;=$B12),IF($E12="Ramp",IF(RampWeightSum&gt;0,$D12*BI$20/RampWeightSum,0),$D12/($C12-$B12+1)),0)</f>
        <v>0</v>
      </c>
      <c r="BJ12" s="22" t="n">
        <f aca="false">IF(AND(BJ$5&gt;=$B12,BJ$5&lt;=$C12,$C12&gt;=$B12),IF($E12="Ramp",IF(RampWeightSum&gt;0,$D12*BJ$20/RampWeightSum,0),$D12/($C12-$B12+1)),0)</f>
        <v>0</v>
      </c>
      <c r="BK12" s="22" t="n">
        <f aca="false">IF(AND(BK$5&gt;=$B12,BK$5&lt;=$C12,$C12&gt;=$B12),IF($E12="Ramp",IF(RampWeightSum&gt;0,$D12*BK$20/RampWeightSum,0),$D12/($C12-$B12+1)),0)</f>
        <v>0</v>
      </c>
      <c r="BL12" s="22" t="n">
        <f aca="false">IF(AND(BL$5&gt;=$B12,BL$5&lt;=$C12,$C12&gt;=$B12),IF($E12="Ramp",IF(RampWeightSum&gt;0,$D12*BL$20/RampWeightSum,0),$D12/($C12-$B12+1)),0)</f>
        <v>0</v>
      </c>
      <c r="BM12" s="22" t="n">
        <f aca="false">IF(AND(BM$5&gt;=$B12,BM$5&lt;=$C12,$C12&gt;=$B12),IF($E12="Ramp",IF(RampWeightSum&gt;0,$D12*BM$20/RampWeightSum,0),$D12/($C12-$B12+1)),0)</f>
        <v>0</v>
      </c>
      <c r="BN12" s="22" t="n">
        <f aca="false">IF(AND(BN$5&gt;=$B12,BN$5&lt;=$C12,$C12&gt;=$B12),IF($E12="Ramp",IF(RampWeightSum&gt;0,$D12*BN$20/RampWeightSum,0),$D12/($C12-$B12+1)),0)</f>
        <v>0</v>
      </c>
      <c r="BO12" s="22" t="n">
        <f aca="false">IF(AND(BO$5&gt;=$B12,BO$5&lt;=$C12,$C12&gt;=$B12),IF($E12="Ramp",IF(RampWeightSum&gt;0,$D12*BO$20/RampWeightSum,0),$D12/($C12-$B12+1)),0)</f>
        <v>0</v>
      </c>
      <c r="BP12" s="22" t="n">
        <f aca="false">IF(AND(BP$5&gt;=$B12,BP$5&lt;=$C12,$C12&gt;=$B12),IF($E12="Ramp",IF(RampWeightSum&gt;0,$D12*BP$20/RampWeightSum,0),$D12/($C12-$B12+1)),0)</f>
        <v>0</v>
      </c>
      <c r="BQ12" s="22" t="n">
        <f aca="false">IF(AND(BQ$5&gt;=$B12,BQ$5&lt;=$C12,$C12&gt;=$B12),IF($E12="Ramp",IF(RampWeightSum&gt;0,$D12*BQ$20/RampWeightSum,0),$D12/($C12-$B12+1)),0)</f>
        <v>0</v>
      </c>
      <c r="BR12" s="22" t="n">
        <f aca="false">IF(AND(BR$5&gt;=$B12,BR$5&lt;=$C12,$C12&gt;=$B12),IF($E12="Ramp",IF(RampWeightSum&gt;0,$D12*BR$20/RampWeightSum,0),$D12/($C12-$B12+1)),0)</f>
        <v>0</v>
      </c>
      <c r="BS12" s="22" t="n">
        <f aca="false">IF(AND(BS$5&gt;=$B12,BS$5&lt;=$C12,$C12&gt;=$B12),IF($E12="Ramp",IF(RampWeightSum&gt;0,$D12*BS$20/RampWeightSum,0),$D12/($C12-$B12+1)),0)</f>
        <v>0</v>
      </c>
      <c r="BT12" s="22" t="n">
        <f aca="false">IF(AND(BT$5&gt;=$B12,BT$5&lt;=$C12,$C12&gt;=$B12),IF($E12="Ramp",IF(RampWeightSum&gt;0,$D12*BT$20/RampWeightSum,0),$D12/($C12-$B12+1)),0)</f>
        <v>0</v>
      </c>
      <c r="BU12" s="22" t="n">
        <f aca="false">IF(AND(BU$5&gt;=$B12,BU$5&lt;=$C12,$C12&gt;=$B12),IF($E12="Ramp",IF(RampWeightSum&gt;0,$D12*BU$20/RampWeightSum,0),$D12/($C12-$B12+1)),0)</f>
        <v>0</v>
      </c>
      <c r="BV12" s="22" t="n">
        <f aca="false">IF(AND(BV$5&gt;=$B12,BV$5&lt;=$C12,$C12&gt;=$B12),IF($E12="Ramp",IF(RampWeightSum&gt;0,$D12*BV$20/RampWeightSum,0),$D12/($C12-$B12+1)),0)</f>
        <v>0</v>
      </c>
      <c r="BW12" s="22" t="n">
        <f aca="false">IF(AND(BW$5&gt;=$B12,BW$5&lt;=$C12,$C12&gt;=$B12),IF($E12="Ramp",IF(RampWeightSum&gt;0,$D12*BW$20/RampWeightSum,0),$D12/($C12-$B12+1)),0)</f>
        <v>0</v>
      </c>
      <c r="BX12" s="22" t="n">
        <f aca="false">IF(AND(BX$5&gt;=$B12,BX$5&lt;=$C12,$C12&gt;=$B12),IF($E12="Ramp",IF(RampWeightSum&gt;0,$D12*BX$20/RampWeightSum,0),$D12/($C12-$B12+1)),0)</f>
        <v>0</v>
      </c>
      <c r="BY12" s="22" t="n">
        <f aca="false">IF(AND(BY$5&gt;=$B12,BY$5&lt;=$C12,$C12&gt;=$B12),IF($E12="Ramp",IF(RampWeightSum&gt;0,$D12*BY$20/RampWeightSum,0),$D12/($C12-$B12+1)),0)</f>
        <v>0</v>
      </c>
      <c r="BZ12" s="22" t="n">
        <f aca="false">IF(AND(BZ$5&gt;=$B12,BZ$5&lt;=$C12,$C12&gt;=$B12),IF($E12="Ramp",IF(RampWeightSum&gt;0,$D12*BZ$20/RampWeightSum,0),$D12/($C12-$B12+1)),0)</f>
        <v>0</v>
      </c>
      <c r="CA12" s="22" t="n">
        <f aca="false">IF(AND(CA$5&gt;=$B12,CA$5&lt;=$C12,$C12&gt;=$B12),IF($E12="Ramp",IF(RampWeightSum&gt;0,$D12*CA$20/RampWeightSum,0),$D12/($C12-$B12+1)),0)</f>
        <v>0</v>
      </c>
      <c r="CB12" s="22" t="n">
        <f aca="false">IF(AND(CB$5&gt;=$B12,CB$5&lt;=$C12,$C12&gt;=$B12),IF($E12="Ramp",IF(RampWeightSum&gt;0,$D12*CB$20/RampWeightSum,0),$D12/($C12-$B12+1)),0)</f>
        <v>0</v>
      </c>
      <c r="CC12" s="22" t="n">
        <f aca="false">IF(AND(CC$5&gt;=$B12,CC$5&lt;=$C12,$C12&gt;=$B12),IF($E12="Ramp",IF(RampWeightSum&gt;0,$D12*CC$20/RampWeightSum,0),$D12/($C12-$B12+1)),0)</f>
        <v>0</v>
      </c>
      <c r="CD12" s="22" t="n">
        <f aca="false">IF(AND(CD$5&gt;=$B12,CD$5&lt;=$C12,$C12&gt;=$B12),IF($E12="Ramp",IF(RampWeightSum&gt;0,$D12*CD$20/RampWeightSum,0),$D12/($C12-$B12+1)),0)</f>
        <v>0</v>
      </c>
      <c r="CE12" s="22" t="n">
        <f aca="false">IF(AND(CE$5&gt;=$B12,CE$5&lt;=$C12,$C12&gt;=$B12),IF($E12="Ramp",IF(RampWeightSum&gt;0,$D12*CE$20/RampWeightSum,0),$D12/($C12-$B12+1)),0)</f>
        <v>0</v>
      </c>
      <c r="CF12" s="22" t="n">
        <f aca="false">IF(AND(CF$5&gt;=$B12,CF$5&lt;=$C12,$C12&gt;=$B12),IF($E12="Ramp",IF(RampWeightSum&gt;0,$D12*CF$20/RampWeightSum,0),$D12/($C12-$B12+1)),0)</f>
        <v>0</v>
      </c>
      <c r="CG12" s="22" t="n">
        <f aca="false">IF(AND(CG$5&gt;=$B12,CG$5&lt;=$C12,$C12&gt;=$B12),IF($E12="Ramp",IF(RampWeightSum&gt;0,$D12*CG$20/RampWeightSum,0),$D12/($C12-$B12+1)),0)</f>
        <v>0</v>
      </c>
      <c r="CH12" s="22" t="n">
        <f aca="false">IF(AND(CH$5&gt;=$B12,CH$5&lt;=$C12,$C12&gt;=$B12),IF($E12="Ramp",IF(RampWeightSum&gt;0,$D12*CH$20/RampWeightSum,0),$D12/($C12-$B12+1)),0)</f>
        <v>0</v>
      </c>
      <c r="CI12" s="22" t="n">
        <f aca="false">IF(AND(CI$5&gt;=$B12,CI$5&lt;=$C12,$C12&gt;=$B12),IF($E12="Ramp",IF(RampWeightSum&gt;0,$D12*CI$20/RampWeightSum,0),$D12/($C12-$B12+1)),0)</f>
        <v>0</v>
      </c>
      <c r="CJ12" s="22" t="n">
        <f aca="false">IF(AND(CJ$5&gt;=$B12,CJ$5&lt;=$C12,$C12&gt;=$B12),IF($E12="Ramp",IF(RampWeightSum&gt;0,$D12*CJ$20/RampWeightSum,0),$D12/($C12-$B12+1)),0)</f>
        <v>0</v>
      </c>
      <c r="CK12" s="22" t="n">
        <f aca="false">IF(AND(CK$5&gt;=$B12,CK$5&lt;=$C12,$C12&gt;=$B12),IF($E12="Ramp",IF(RampWeightSum&gt;0,$D12*CK$20/RampWeightSum,0),$D12/($C12-$B12+1)),0)</f>
        <v>0</v>
      </c>
      <c r="CL12" s="22" t="n">
        <f aca="false">IF(AND(CL$5&gt;=$B12,CL$5&lt;=$C12,$C12&gt;=$B12),IF($E12="Ramp",IF(RampWeightSum&gt;0,$D12*CL$20/RampWeightSum,0),$D12/($C12-$B12+1)),0)</f>
        <v>0</v>
      </c>
      <c r="CM12" s="22" t="n">
        <f aca="false">IF(AND(CM$5&gt;=$B12,CM$5&lt;=$C12,$C12&gt;=$B12),IF($E12="Ramp",IF(RampWeightSum&gt;0,$D12*CM$20/RampWeightSum,0),$D12/($C12-$B12+1)),0)</f>
        <v>0</v>
      </c>
      <c r="CN12" s="22" t="n">
        <f aca="false">IF(AND(CN$5&gt;=$B12,CN$5&lt;=$C12,$C12&gt;=$B12),IF($E12="Ramp",IF(RampWeightSum&gt;0,$D12*CN$20/RampWeightSum,0),$D12/($C12-$B12+1)),0)</f>
        <v>0</v>
      </c>
      <c r="CO12" s="22" t="n">
        <f aca="false">IF(AND(CO$5&gt;=$B12,CO$5&lt;=$C12,$C12&gt;=$B12),IF($E12="Ramp",IF(RampWeightSum&gt;0,$D12*CO$20/RampWeightSum,0),$D12/($C12-$B12+1)),0)</f>
        <v>0</v>
      </c>
      <c r="CP12" s="22" t="n">
        <f aca="false">IF(AND(CP$5&gt;=$B12,CP$5&lt;=$C12,$C12&gt;=$B12),IF($E12="Ramp",IF(RampWeightSum&gt;0,$D12*CP$20/RampWeightSum,0),$D12/($C12-$B12+1)),0)</f>
        <v>0</v>
      </c>
      <c r="CQ12" s="22" t="n">
        <f aca="false">IF(AND(CQ$5&gt;=$B12,CQ$5&lt;=$C12,$C12&gt;=$B12),IF($E12="Ramp",IF(RampWeightSum&gt;0,$D12*CQ$20/RampWeightSum,0),$D12/($C12-$B12+1)),0)</f>
        <v>0</v>
      </c>
      <c r="CR12" s="22" t="n">
        <f aca="false">IF(AND(CR$5&gt;=$B12,CR$5&lt;=$C12,$C12&gt;=$B12),IF($E12="Ramp",IF(RampWeightSum&gt;0,$D12*CR$20/RampWeightSum,0),$D12/($C12-$B12+1)),0)</f>
        <v>0</v>
      </c>
      <c r="CS12" s="22" t="n">
        <f aca="false">IF(AND(CS$5&gt;=$B12,CS$5&lt;=$C12,$C12&gt;=$B12),IF($E12="Ramp",IF(RampWeightSum&gt;0,$D12*CS$20/RampWeightSum,0),$D12/($C12-$B12+1)),0)</f>
        <v>0</v>
      </c>
      <c r="CT12" s="22" t="n">
        <f aca="false">IF(AND(CT$5&gt;=$B12,CT$5&lt;=$C12,$C12&gt;=$B12),IF($E12="Ramp",IF(RampWeightSum&gt;0,$D12*CT$20/RampWeightSum,0),$D12/($C12-$B12+1)),0)</f>
        <v>0</v>
      </c>
      <c r="CU12" s="22" t="n">
        <f aca="false">IF(AND(CU$5&gt;=$B12,CU$5&lt;=$C12,$C12&gt;=$B12),IF($E12="Ramp",IF(RampWeightSum&gt;0,$D12*CU$20/RampWeightSum,0),$D12/($C12-$B12+1)),0)</f>
        <v>0</v>
      </c>
      <c r="CV12" s="22" t="n">
        <f aca="false">IF(AND(CV$5&gt;=$B12,CV$5&lt;=$C12,$C12&gt;=$B12),IF($E12="Ramp",IF(RampWeightSum&gt;0,$D12*CV$20/RampWeightSum,0),$D12/($C12-$B12+1)),0)</f>
        <v>0</v>
      </c>
      <c r="CW12" s="22" t="n">
        <f aca="false">IF(AND(CW$5&gt;=$B12,CW$5&lt;=$C12,$C12&gt;=$B12),IF($E12="Ramp",IF(RampWeightSum&gt;0,$D12*CW$20/RampWeightSum,0),$D12/($C12-$B12+1)),0)</f>
        <v>0</v>
      </c>
      <c r="CX12" s="22" t="n">
        <f aca="false">IF(AND(CX$5&gt;=$B12,CX$5&lt;=$C12,$C12&gt;=$B12),IF($E12="Ramp",IF(RampWeightSum&gt;0,$D12*CX$20/RampWeightSum,0),$D12/($C12-$B12+1)),0)</f>
        <v>0</v>
      </c>
      <c r="CY12" s="22" t="n">
        <f aca="false">IF(AND(CY$5&gt;=$B12,CY$5&lt;=$C12,$C12&gt;=$B12),IF($E12="Ramp",IF(RampWeightSum&gt;0,$D12*CY$20/RampWeightSum,0),$D12/($C12-$B12+1)),0)</f>
        <v>0</v>
      </c>
      <c r="CZ12" s="22" t="n">
        <f aca="false">IF(AND(CZ$5&gt;=$B12,CZ$5&lt;=$C12,$C12&gt;=$B12),IF($E12="Ramp",IF(RampWeightSum&gt;0,$D12*CZ$20/RampWeightSum,0),$D12/($C12-$B12+1)),0)</f>
        <v>0</v>
      </c>
      <c r="DA12" s="22" t="n">
        <f aca="false">IF(AND(DA$5&gt;=$B12,DA$5&lt;=$C12,$C12&gt;=$B12),IF($E12="Ramp",IF(RampWeightSum&gt;0,$D12*DA$20/RampWeightSum,0),$D12/($C12-$B12+1)),0)</f>
        <v>0</v>
      </c>
      <c r="DB12" s="22" t="n">
        <f aca="false">IF(AND(DB$5&gt;=$B12,DB$5&lt;=$C12,$C12&gt;=$B12),IF($E12="Ramp",IF(RampWeightSum&gt;0,$D12*DB$20/RampWeightSum,0),$D12/($C12-$B12+1)),0)</f>
        <v>0</v>
      </c>
      <c r="DC12" s="22" t="n">
        <f aca="false">IF(AND(DC$5&gt;=$B12,DC$5&lt;=$C12,$C12&gt;=$B12),IF($E12="Ramp",IF(RampWeightSum&gt;0,$D12*DC$20/RampWeightSum,0),$D12/($C12-$B12+1)),0)</f>
        <v>0</v>
      </c>
      <c r="DD12" s="22" t="n">
        <f aca="false">IF(AND(DD$5&gt;=$B12,DD$5&lt;=$C12,$C12&gt;=$B12),IF($E12="Ramp",IF(RampWeightSum&gt;0,$D12*DD$20/RampWeightSum,0),$D12/($C12-$B12+1)),0)</f>
        <v>0</v>
      </c>
      <c r="DE12" s="22" t="n">
        <f aca="false">IF(AND(DE$5&gt;=$B12,DE$5&lt;=$C12,$C12&gt;=$B12),IF($E12="Ramp",IF(RampWeightSum&gt;0,$D12*DE$20/RampWeightSum,0),$D12/($C12-$B12+1)),0)</f>
        <v>0</v>
      </c>
    </row>
    <row r="13" customFormat="false" ht="15" hidden="false" customHeight="false" outlineLevel="0" collapsed="false">
      <c r="A13" s="9" t="s">
        <v>87</v>
      </c>
      <c r="B13" s="29" t="n">
        <f aca="false">INDEX(PhStart,6)</f>
        <v>13</v>
      </c>
      <c r="C13" s="29" t="n">
        <f aca="false">INDEX(PhEnd,6)</f>
        <v>34</v>
      </c>
      <c r="D13" s="22" t="n">
        <f aca="false">INDEX(PhaseHours,6)</f>
        <v>440</v>
      </c>
      <c r="E13" s="9" t="str">
        <f aca="false">Schedule!E51</f>
        <v>Flat</v>
      </c>
      <c r="F13" s="22" t="n">
        <f aca="false">IF(AND(F$5&gt;=$B13,F$5&lt;=$C13,$C13&gt;=$B13),IF($E13="Ramp",IF(RampWeightSum&gt;0,$D13*F$20/RampWeightSum,0),$D13/($C13-$B13+1)),0)</f>
        <v>0</v>
      </c>
      <c r="G13" s="22" t="n">
        <f aca="false">IF(AND(G$5&gt;=$B13,G$5&lt;=$C13,$C13&gt;=$B13),IF($E13="Ramp",IF(RampWeightSum&gt;0,$D13*G$20/RampWeightSum,0),$D13/($C13-$B13+1)),0)</f>
        <v>0</v>
      </c>
      <c r="H13" s="22" t="n">
        <f aca="false">IF(AND(H$5&gt;=$B13,H$5&lt;=$C13,$C13&gt;=$B13),IF($E13="Ramp",IF(RampWeightSum&gt;0,$D13*H$20/RampWeightSum,0),$D13/($C13-$B13+1)),0)</f>
        <v>0</v>
      </c>
      <c r="I13" s="22" t="n">
        <f aca="false">IF(AND(I$5&gt;=$B13,I$5&lt;=$C13,$C13&gt;=$B13),IF($E13="Ramp",IF(RampWeightSum&gt;0,$D13*I$20/RampWeightSum,0),$D13/($C13-$B13+1)),0)</f>
        <v>0</v>
      </c>
      <c r="J13" s="22" t="n">
        <f aca="false">IF(AND(J$5&gt;=$B13,J$5&lt;=$C13,$C13&gt;=$B13),IF($E13="Ramp",IF(RampWeightSum&gt;0,$D13*J$20/RampWeightSum,0),$D13/($C13-$B13+1)),0)</f>
        <v>0</v>
      </c>
      <c r="K13" s="22" t="n">
        <f aca="false">IF(AND(K$5&gt;=$B13,K$5&lt;=$C13,$C13&gt;=$B13),IF($E13="Ramp",IF(RampWeightSum&gt;0,$D13*K$20/RampWeightSum,0),$D13/($C13-$B13+1)),0)</f>
        <v>0</v>
      </c>
      <c r="L13" s="22" t="n">
        <f aca="false">IF(AND(L$5&gt;=$B13,L$5&lt;=$C13,$C13&gt;=$B13),IF($E13="Ramp",IF(RampWeightSum&gt;0,$D13*L$20/RampWeightSum,0),$D13/($C13-$B13+1)),0)</f>
        <v>0</v>
      </c>
      <c r="M13" s="22" t="n">
        <f aca="false">IF(AND(M$5&gt;=$B13,M$5&lt;=$C13,$C13&gt;=$B13),IF($E13="Ramp",IF(RampWeightSum&gt;0,$D13*M$20/RampWeightSum,0),$D13/($C13-$B13+1)),0)</f>
        <v>0</v>
      </c>
      <c r="N13" s="22" t="n">
        <f aca="false">IF(AND(N$5&gt;=$B13,N$5&lt;=$C13,$C13&gt;=$B13),IF($E13="Ramp",IF(RampWeightSum&gt;0,$D13*N$20/RampWeightSum,0),$D13/($C13-$B13+1)),0)</f>
        <v>0</v>
      </c>
      <c r="O13" s="22" t="n">
        <f aca="false">IF(AND(O$5&gt;=$B13,O$5&lt;=$C13,$C13&gt;=$B13),IF($E13="Ramp",IF(RampWeightSum&gt;0,$D13*O$20/RampWeightSum,0),$D13/($C13-$B13+1)),0)</f>
        <v>0</v>
      </c>
      <c r="P13" s="22" t="n">
        <f aca="false">IF(AND(P$5&gt;=$B13,P$5&lt;=$C13,$C13&gt;=$B13),IF($E13="Ramp",IF(RampWeightSum&gt;0,$D13*P$20/RampWeightSum,0),$D13/($C13-$B13+1)),0)</f>
        <v>0</v>
      </c>
      <c r="Q13" s="22" t="n">
        <f aca="false">IF(AND(Q$5&gt;=$B13,Q$5&lt;=$C13,$C13&gt;=$B13),IF($E13="Ramp",IF(RampWeightSum&gt;0,$D13*Q$20/RampWeightSum,0),$D13/($C13-$B13+1)),0)</f>
        <v>0</v>
      </c>
      <c r="R13" s="22" t="n">
        <f aca="false">IF(AND(R$5&gt;=$B13,R$5&lt;=$C13,$C13&gt;=$B13),IF($E13="Ramp",IF(RampWeightSum&gt;0,$D13*R$20/RampWeightSum,0),$D13/($C13-$B13+1)),0)</f>
        <v>20</v>
      </c>
      <c r="S13" s="22" t="n">
        <f aca="false">IF(AND(S$5&gt;=$B13,S$5&lt;=$C13,$C13&gt;=$B13),IF($E13="Ramp",IF(RampWeightSum&gt;0,$D13*S$20/RampWeightSum,0),$D13/($C13-$B13+1)),0)</f>
        <v>20</v>
      </c>
      <c r="T13" s="22" t="n">
        <f aca="false">IF(AND(T$5&gt;=$B13,T$5&lt;=$C13,$C13&gt;=$B13),IF($E13="Ramp",IF(RampWeightSum&gt;0,$D13*T$20/RampWeightSum,0),$D13/($C13-$B13+1)),0)</f>
        <v>20</v>
      </c>
      <c r="U13" s="22" t="n">
        <f aca="false">IF(AND(U$5&gt;=$B13,U$5&lt;=$C13,$C13&gt;=$B13),IF($E13="Ramp",IF(RampWeightSum&gt;0,$D13*U$20/RampWeightSum,0),$D13/($C13-$B13+1)),0)</f>
        <v>20</v>
      </c>
      <c r="V13" s="22" t="n">
        <f aca="false">IF(AND(V$5&gt;=$B13,V$5&lt;=$C13,$C13&gt;=$B13),IF($E13="Ramp",IF(RampWeightSum&gt;0,$D13*V$20/RampWeightSum,0),$D13/($C13-$B13+1)),0)</f>
        <v>20</v>
      </c>
      <c r="W13" s="22" t="n">
        <f aca="false">IF(AND(W$5&gt;=$B13,W$5&lt;=$C13,$C13&gt;=$B13),IF($E13="Ramp",IF(RampWeightSum&gt;0,$D13*W$20/RampWeightSum,0),$D13/($C13-$B13+1)),0)</f>
        <v>20</v>
      </c>
      <c r="X13" s="22" t="n">
        <f aca="false">IF(AND(X$5&gt;=$B13,X$5&lt;=$C13,$C13&gt;=$B13),IF($E13="Ramp",IF(RampWeightSum&gt;0,$D13*X$20/RampWeightSum,0),$D13/($C13-$B13+1)),0)</f>
        <v>20</v>
      </c>
      <c r="Y13" s="22" t="n">
        <f aca="false">IF(AND(Y$5&gt;=$B13,Y$5&lt;=$C13,$C13&gt;=$B13),IF($E13="Ramp",IF(RampWeightSum&gt;0,$D13*Y$20/RampWeightSum,0),$D13/($C13-$B13+1)),0)</f>
        <v>20</v>
      </c>
      <c r="Z13" s="22" t="n">
        <f aca="false">IF(AND(Z$5&gt;=$B13,Z$5&lt;=$C13,$C13&gt;=$B13),IF($E13="Ramp",IF(RampWeightSum&gt;0,$D13*Z$20/RampWeightSum,0),$D13/($C13-$B13+1)),0)</f>
        <v>20</v>
      </c>
      <c r="AA13" s="22" t="n">
        <f aca="false">IF(AND(AA$5&gt;=$B13,AA$5&lt;=$C13,$C13&gt;=$B13),IF($E13="Ramp",IF(RampWeightSum&gt;0,$D13*AA$20/RampWeightSum,0),$D13/($C13-$B13+1)),0)</f>
        <v>20</v>
      </c>
      <c r="AB13" s="22" t="n">
        <f aca="false">IF(AND(AB$5&gt;=$B13,AB$5&lt;=$C13,$C13&gt;=$B13),IF($E13="Ramp",IF(RampWeightSum&gt;0,$D13*AB$20/RampWeightSum,0),$D13/($C13-$B13+1)),0)</f>
        <v>20</v>
      </c>
      <c r="AC13" s="22" t="n">
        <f aca="false">IF(AND(AC$5&gt;=$B13,AC$5&lt;=$C13,$C13&gt;=$B13),IF($E13="Ramp",IF(RampWeightSum&gt;0,$D13*AC$20/RampWeightSum,0),$D13/($C13-$B13+1)),0)</f>
        <v>20</v>
      </c>
      <c r="AD13" s="22" t="n">
        <f aca="false">IF(AND(AD$5&gt;=$B13,AD$5&lt;=$C13,$C13&gt;=$B13),IF($E13="Ramp",IF(RampWeightSum&gt;0,$D13*AD$20/RampWeightSum,0),$D13/($C13-$B13+1)),0)</f>
        <v>20</v>
      </c>
      <c r="AE13" s="22" t="n">
        <f aca="false">IF(AND(AE$5&gt;=$B13,AE$5&lt;=$C13,$C13&gt;=$B13),IF($E13="Ramp",IF(RampWeightSum&gt;0,$D13*AE$20/RampWeightSum,0),$D13/($C13-$B13+1)),0)</f>
        <v>20</v>
      </c>
      <c r="AF13" s="22" t="n">
        <f aca="false">IF(AND(AF$5&gt;=$B13,AF$5&lt;=$C13,$C13&gt;=$B13),IF($E13="Ramp",IF(RampWeightSum&gt;0,$D13*AF$20/RampWeightSum,0),$D13/($C13-$B13+1)),0)</f>
        <v>20</v>
      </c>
      <c r="AG13" s="22" t="n">
        <f aca="false">IF(AND(AG$5&gt;=$B13,AG$5&lt;=$C13,$C13&gt;=$B13),IF($E13="Ramp",IF(RampWeightSum&gt;0,$D13*AG$20/RampWeightSum,0),$D13/($C13-$B13+1)),0)</f>
        <v>20</v>
      </c>
      <c r="AH13" s="22" t="n">
        <f aca="false">IF(AND(AH$5&gt;=$B13,AH$5&lt;=$C13,$C13&gt;=$B13),IF($E13="Ramp",IF(RampWeightSum&gt;0,$D13*AH$20/RampWeightSum,0),$D13/($C13-$B13+1)),0)</f>
        <v>20</v>
      </c>
      <c r="AI13" s="22" t="n">
        <f aca="false">IF(AND(AI$5&gt;=$B13,AI$5&lt;=$C13,$C13&gt;=$B13),IF($E13="Ramp",IF(RampWeightSum&gt;0,$D13*AI$20/RampWeightSum,0),$D13/($C13-$B13+1)),0)</f>
        <v>20</v>
      </c>
      <c r="AJ13" s="22" t="n">
        <f aca="false">IF(AND(AJ$5&gt;=$B13,AJ$5&lt;=$C13,$C13&gt;=$B13),IF($E13="Ramp",IF(RampWeightSum&gt;0,$D13*AJ$20/RampWeightSum,0),$D13/($C13-$B13+1)),0)</f>
        <v>20</v>
      </c>
      <c r="AK13" s="22" t="n">
        <f aca="false">IF(AND(AK$5&gt;=$B13,AK$5&lt;=$C13,$C13&gt;=$B13),IF($E13="Ramp",IF(RampWeightSum&gt;0,$D13*AK$20/RampWeightSum,0),$D13/($C13-$B13+1)),0)</f>
        <v>20</v>
      </c>
      <c r="AL13" s="22" t="n">
        <f aca="false">IF(AND(AL$5&gt;=$B13,AL$5&lt;=$C13,$C13&gt;=$B13),IF($E13="Ramp",IF(RampWeightSum&gt;0,$D13*AL$20/RampWeightSum,0),$D13/($C13-$B13+1)),0)</f>
        <v>20</v>
      </c>
      <c r="AM13" s="22" t="n">
        <f aca="false">IF(AND(AM$5&gt;=$B13,AM$5&lt;=$C13,$C13&gt;=$B13),IF($E13="Ramp",IF(RampWeightSum&gt;0,$D13*AM$20/RampWeightSum,0),$D13/($C13-$B13+1)),0)</f>
        <v>20</v>
      </c>
      <c r="AN13" s="22" t="n">
        <f aca="false">IF(AND(AN$5&gt;=$B13,AN$5&lt;=$C13,$C13&gt;=$B13),IF($E13="Ramp",IF(RampWeightSum&gt;0,$D13*AN$20/RampWeightSum,0),$D13/($C13-$B13+1)),0)</f>
        <v>0</v>
      </c>
      <c r="AO13" s="22" t="n">
        <f aca="false">IF(AND(AO$5&gt;=$B13,AO$5&lt;=$C13,$C13&gt;=$B13),IF($E13="Ramp",IF(RampWeightSum&gt;0,$D13*AO$20/RampWeightSum,0),$D13/($C13-$B13+1)),0)</f>
        <v>0</v>
      </c>
      <c r="AP13" s="22" t="n">
        <f aca="false">IF(AND(AP$5&gt;=$B13,AP$5&lt;=$C13,$C13&gt;=$B13),IF($E13="Ramp",IF(RampWeightSum&gt;0,$D13*AP$20/RampWeightSum,0),$D13/($C13-$B13+1)),0)</f>
        <v>0</v>
      </c>
      <c r="AQ13" s="22" t="n">
        <f aca="false">IF(AND(AQ$5&gt;=$B13,AQ$5&lt;=$C13,$C13&gt;=$B13),IF($E13="Ramp",IF(RampWeightSum&gt;0,$D13*AQ$20/RampWeightSum,0),$D13/($C13-$B13+1)),0)</f>
        <v>0</v>
      </c>
      <c r="AR13" s="22" t="n">
        <f aca="false">IF(AND(AR$5&gt;=$B13,AR$5&lt;=$C13,$C13&gt;=$B13),IF($E13="Ramp",IF(RampWeightSum&gt;0,$D13*AR$20/RampWeightSum,0),$D13/($C13-$B13+1)),0)</f>
        <v>0</v>
      </c>
      <c r="AS13" s="22" t="n">
        <f aca="false">IF(AND(AS$5&gt;=$B13,AS$5&lt;=$C13,$C13&gt;=$B13),IF($E13="Ramp",IF(RampWeightSum&gt;0,$D13*AS$20/RampWeightSum,0),$D13/($C13-$B13+1)),0)</f>
        <v>0</v>
      </c>
      <c r="AT13" s="22" t="n">
        <f aca="false">IF(AND(AT$5&gt;=$B13,AT$5&lt;=$C13,$C13&gt;=$B13),IF($E13="Ramp",IF(RampWeightSum&gt;0,$D13*AT$20/RampWeightSum,0),$D13/($C13-$B13+1)),0)</f>
        <v>0</v>
      </c>
      <c r="AU13" s="22" t="n">
        <f aca="false">IF(AND(AU$5&gt;=$B13,AU$5&lt;=$C13,$C13&gt;=$B13),IF($E13="Ramp",IF(RampWeightSum&gt;0,$D13*AU$20/RampWeightSum,0),$D13/($C13-$B13+1)),0)</f>
        <v>0</v>
      </c>
      <c r="AV13" s="22" t="n">
        <f aca="false">IF(AND(AV$5&gt;=$B13,AV$5&lt;=$C13,$C13&gt;=$B13),IF($E13="Ramp",IF(RampWeightSum&gt;0,$D13*AV$20/RampWeightSum,0),$D13/($C13-$B13+1)),0)</f>
        <v>0</v>
      </c>
      <c r="AW13" s="22" t="n">
        <f aca="false">IF(AND(AW$5&gt;=$B13,AW$5&lt;=$C13,$C13&gt;=$B13),IF($E13="Ramp",IF(RampWeightSum&gt;0,$D13*AW$20/RampWeightSum,0),$D13/($C13-$B13+1)),0)</f>
        <v>0</v>
      </c>
      <c r="AX13" s="22" t="n">
        <f aca="false">IF(AND(AX$5&gt;=$B13,AX$5&lt;=$C13,$C13&gt;=$B13),IF($E13="Ramp",IF(RampWeightSum&gt;0,$D13*AX$20/RampWeightSum,0),$D13/($C13-$B13+1)),0)</f>
        <v>0</v>
      </c>
      <c r="AY13" s="22" t="n">
        <f aca="false">IF(AND(AY$5&gt;=$B13,AY$5&lt;=$C13,$C13&gt;=$B13),IF($E13="Ramp",IF(RampWeightSum&gt;0,$D13*AY$20/RampWeightSum,0),$D13/($C13-$B13+1)),0)</f>
        <v>0</v>
      </c>
      <c r="AZ13" s="22" t="n">
        <f aca="false">IF(AND(AZ$5&gt;=$B13,AZ$5&lt;=$C13,$C13&gt;=$B13),IF($E13="Ramp",IF(RampWeightSum&gt;0,$D13*AZ$20/RampWeightSum,0),$D13/($C13-$B13+1)),0)</f>
        <v>0</v>
      </c>
      <c r="BA13" s="22" t="n">
        <f aca="false">IF(AND(BA$5&gt;=$B13,BA$5&lt;=$C13,$C13&gt;=$B13),IF($E13="Ramp",IF(RampWeightSum&gt;0,$D13*BA$20/RampWeightSum,0),$D13/($C13-$B13+1)),0)</f>
        <v>0</v>
      </c>
      <c r="BB13" s="22" t="n">
        <f aca="false">IF(AND(BB$5&gt;=$B13,BB$5&lt;=$C13,$C13&gt;=$B13),IF($E13="Ramp",IF(RampWeightSum&gt;0,$D13*BB$20/RampWeightSum,0),$D13/($C13-$B13+1)),0)</f>
        <v>0</v>
      </c>
      <c r="BC13" s="22" t="n">
        <f aca="false">IF(AND(BC$5&gt;=$B13,BC$5&lt;=$C13,$C13&gt;=$B13),IF($E13="Ramp",IF(RampWeightSum&gt;0,$D13*BC$20/RampWeightSum,0),$D13/($C13-$B13+1)),0)</f>
        <v>0</v>
      </c>
      <c r="BD13" s="22" t="n">
        <f aca="false">IF(AND(BD$5&gt;=$B13,BD$5&lt;=$C13,$C13&gt;=$B13),IF($E13="Ramp",IF(RampWeightSum&gt;0,$D13*BD$20/RampWeightSum,0),$D13/($C13-$B13+1)),0)</f>
        <v>0</v>
      </c>
      <c r="BE13" s="22" t="n">
        <f aca="false">IF(AND(BE$5&gt;=$B13,BE$5&lt;=$C13,$C13&gt;=$B13),IF($E13="Ramp",IF(RampWeightSum&gt;0,$D13*BE$20/RampWeightSum,0),$D13/($C13-$B13+1)),0)</f>
        <v>0</v>
      </c>
      <c r="BF13" s="22" t="n">
        <f aca="false">IF(AND(BF$5&gt;=$B13,BF$5&lt;=$C13,$C13&gt;=$B13),IF($E13="Ramp",IF(RampWeightSum&gt;0,$D13*BF$20/RampWeightSum,0),$D13/($C13-$B13+1)),0)</f>
        <v>0</v>
      </c>
      <c r="BG13" s="22" t="n">
        <f aca="false">IF(AND(BG$5&gt;=$B13,BG$5&lt;=$C13,$C13&gt;=$B13),IF($E13="Ramp",IF(RampWeightSum&gt;0,$D13*BG$20/RampWeightSum,0),$D13/($C13-$B13+1)),0)</f>
        <v>0</v>
      </c>
      <c r="BH13" s="22" t="n">
        <f aca="false">IF(AND(BH$5&gt;=$B13,BH$5&lt;=$C13,$C13&gt;=$B13),IF($E13="Ramp",IF(RampWeightSum&gt;0,$D13*BH$20/RampWeightSum,0),$D13/($C13-$B13+1)),0)</f>
        <v>0</v>
      </c>
      <c r="BI13" s="22" t="n">
        <f aca="false">IF(AND(BI$5&gt;=$B13,BI$5&lt;=$C13,$C13&gt;=$B13),IF($E13="Ramp",IF(RampWeightSum&gt;0,$D13*BI$20/RampWeightSum,0),$D13/($C13-$B13+1)),0)</f>
        <v>0</v>
      </c>
      <c r="BJ13" s="22" t="n">
        <f aca="false">IF(AND(BJ$5&gt;=$B13,BJ$5&lt;=$C13,$C13&gt;=$B13),IF($E13="Ramp",IF(RampWeightSum&gt;0,$D13*BJ$20/RampWeightSum,0),$D13/($C13-$B13+1)),0)</f>
        <v>0</v>
      </c>
      <c r="BK13" s="22" t="n">
        <f aca="false">IF(AND(BK$5&gt;=$B13,BK$5&lt;=$C13,$C13&gt;=$B13),IF($E13="Ramp",IF(RampWeightSum&gt;0,$D13*BK$20/RampWeightSum,0),$D13/($C13-$B13+1)),0)</f>
        <v>0</v>
      </c>
      <c r="BL13" s="22" t="n">
        <f aca="false">IF(AND(BL$5&gt;=$B13,BL$5&lt;=$C13,$C13&gt;=$B13),IF($E13="Ramp",IF(RampWeightSum&gt;0,$D13*BL$20/RampWeightSum,0),$D13/($C13-$B13+1)),0)</f>
        <v>0</v>
      </c>
      <c r="BM13" s="22" t="n">
        <f aca="false">IF(AND(BM$5&gt;=$B13,BM$5&lt;=$C13,$C13&gt;=$B13),IF($E13="Ramp",IF(RampWeightSum&gt;0,$D13*BM$20/RampWeightSum,0),$D13/($C13-$B13+1)),0)</f>
        <v>0</v>
      </c>
      <c r="BN13" s="22" t="n">
        <f aca="false">IF(AND(BN$5&gt;=$B13,BN$5&lt;=$C13,$C13&gt;=$B13),IF($E13="Ramp",IF(RampWeightSum&gt;0,$D13*BN$20/RampWeightSum,0),$D13/($C13-$B13+1)),0)</f>
        <v>0</v>
      </c>
      <c r="BO13" s="22" t="n">
        <f aca="false">IF(AND(BO$5&gt;=$B13,BO$5&lt;=$C13,$C13&gt;=$B13),IF($E13="Ramp",IF(RampWeightSum&gt;0,$D13*BO$20/RampWeightSum,0),$D13/($C13-$B13+1)),0)</f>
        <v>0</v>
      </c>
      <c r="BP13" s="22" t="n">
        <f aca="false">IF(AND(BP$5&gt;=$B13,BP$5&lt;=$C13,$C13&gt;=$B13),IF($E13="Ramp",IF(RampWeightSum&gt;0,$D13*BP$20/RampWeightSum,0),$D13/($C13-$B13+1)),0)</f>
        <v>0</v>
      </c>
      <c r="BQ13" s="22" t="n">
        <f aca="false">IF(AND(BQ$5&gt;=$B13,BQ$5&lt;=$C13,$C13&gt;=$B13),IF($E13="Ramp",IF(RampWeightSum&gt;0,$D13*BQ$20/RampWeightSum,0),$D13/($C13-$B13+1)),0)</f>
        <v>0</v>
      </c>
      <c r="BR13" s="22" t="n">
        <f aca="false">IF(AND(BR$5&gt;=$B13,BR$5&lt;=$C13,$C13&gt;=$B13),IF($E13="Ramp",IF(RampWeightSum&gt;0,$D13*BR$20/RampWeightSum,0),$D13/($C13-$B13+1)),0)</f>
        <v>0</v>
      </c>
      <c r="BS13" s="22" t="n">
        <f aca="false">IF(AND(BS$5&gt;=$B13,BS$5&lt;=$C13,$C13&gt;=$B13),IF($E13="Ramp",IF(RampWeightSum&gt;0,$D13*BS$20/RampWeightSum,0),$D13/($C13-$B13+1)),0)</f>
        <v>0</v>
      </c>
      <c r="BT13" s="22" t="n">
        <f aca="false">IF(AND(BT$5&gt;=$B13,BT$5&lt;=$C13,$C13&gt;=$B13),IF($E13="Ramp",IF(RampWeightSum&gt;0,$D13*BT$20/RampWeightSum,0),$D13/($C13-$B13+1)),0)</f>
        <v>0</v>
      </c>
      <c r="BU13" s="22" t="n">
        <f aca="false">IF(AND(BU$5&gt;=$B13,BU$5&lt;=$C13,$C13&gt;=$B13),IF($E13="Ramp",IF(RampWeightSum&gt;0,$D13*BU$20/RampWeightSum,0),$D13/($C13-$B13+1)),0)</f>
        <v>0</v>
      </c>
      <c r="BV13" s="22" t="n">
        <f aca="false">IF(AND(BV$5&gt;=$B13,BV$5&lt;=$C13,$C13&gt;=$B13),IF($E13="Ramp",IF(RampWeightSum&gt;0,$D13*BV$20/RampWeightSum,0),$D13/($C13-$B13+1)),0)</f>
        <v>0</v>
      </c>
      <c r="BW13" s="22" t="n">
        <f aca="false">IF(AND(BW$5&gt;=$B13,BW$5&lt;=$C13,$C13&gt;=$B13),IF($E13="Ramp",IF(RampWeightSum&gt;0,$D13*BW$20/RampWeightSum,0),$D13/($C13-$B13+1)),0)</f>
        <v>0</v>
      </c>
      <c r="BX13" s="22" t="n">
        <f aca="false">IF(AND(BX$5&gt;=$B13,BX$5&lt;=$C13,$C13&gt;=$B13),IF($E13="Ramp",IF(RampWeightSum&gt;0,$D13*BX$20/RampWeightSum,0),$D13/($C13-$B13+1)),0)</f>
        <v>0</v>
      </c>
      <c r="BY13" s="22" t="n">
        <f aca="false">IF(AND(BY$5&gt;=$B13,BY$5&lt;=$C13,$C13&gt;=$B13),IF($E13="Ramp",IF(RampWeightSum&gt;0,$D13*BY$20/RampWeightSum,0),$D13/($C13-$B13+1)),0)</f>
        <v>0</v>
      </c>
      <c r="BZ13" s="22" t="n">
        <f aca="false">IF(AND(BZ$5&gt;=$B13,BZ$5&lt;=$C13,$C13&gt;=$B13),IF($E13="Ramp",IF(RampWeightSum&gt;0,$D13*BZ$20/RampWeightSum,0),$D13/($C13-$B13+1)),0)</f>
        <v>0</v>
      </c>
      <c r="CA13" s="22" t="n">
        <f aca="false">IF(AND(CA$5&gt;=$B13,CA$5&lt;=$C13,$C13&gt;=$B13),IF($E13="Ramp",IF(RampWeightSum&gt;0,$D13*CA$20/RampWeightSum,0),$D13/($C13-$B13+1)),0)</f>
        <v>0</v>
      </c>
      <c r="CB13" s="22" t="n">
        <f aca="false">IF(AND(CB$5&gt;=$B13,CB$5&lt;=$C13,$C13&gt;=$B13),IF($E13="Ramp",IF(RampWeightSum&gt;0,$D13*CB$20/RampWeightSum,0),$D13/($C13-$B13+1)),0)</f>
        <v>0</v>
      </c>
      <c r="CC13" s="22" t="n">
        <f aca="false">IF(AND(CC$5&gt;=$B13,CC$5&lt;=$C13,$C13&gt;=$B13),IF($E13="Ramp",IF(RampWeightSum&gt;0,$D13*CC$20/RampWeightSum,0),$D13/($C13-$B13+1)),0)</f>
        <v>0</v>
      </c>
      <c r="CD13" s="22" t="n">
        <f aca="false">IF(AND(CD$5&gt;=$B13,CD$5&lt;=$C13,$C13&gt;=$B13),IF($E13="Ramp",IF(RampWeightSum&gt;0,$D13*CD$20/RampWeightSum,0),$D13/($C13-$B13+1)),0)</f>
        <v>0</v>
      </c>
      <c r="CE13" s="22" t="n">
        <f aca="false">IF(AND(CE$5&gt;=$B13,CE$5&lt;=$C13,$C13&gt;=$B13),IF($E13="Ramp",IF(RampWeightSum&gt;0,$D13*CE$20/RampWeightSum,0),$D13/($C13-$B13+1)),0)</f>
        <v>0</v>
      </c>
      <c r="CF13" s="22" t="n">
        <f aca="false">IF(AND(CF$5&gt;=$B13,CF$5&lt;=$C13,$C13&gt;=$B13),IF($E13="Ramp",IF(RampWeightSum&gt;0,$D13*CF$20/RampWeightSum,0),$D13/($C13-$B13+1)),0)</f>
        <v>0</v>
      </c>
      <c r="CG13" s="22" t="n">
        <f aca="false">IF(AND(CG$5&gt;=$B13,CG$5&lt;=$C13,$C13&gt;=$B13),IF($E13="Ramp",IF(RampWeightSum&gt;0,$D13*CG$20/RampWeightSum,0),$D13/($C13-$B13+1)),0)</f>
        <v>0</v>
      </c>
      <c r="CH13" s="22" t="n">
        <f aca="false">IF(AND(CH$5&gt;=$B13,CH$5&lt;=$C13,$C13&gt;=$B13),IF($E13="Ramp",IF(RampWeightSum&gt;0,$D13*CH$20/RampWeightSum,0),$D13/($C13-$B13+1)),0)</f>
        <v>0</v>
      </c>
      <c r="CI13" s="22" t="n">
        <f aca="false">IF(AND(CI$5&gt;=$B13,CI$5&lt;=$C13,$C13&gt;=$B13),IF($E13="Ramp",IF(RampWeightSum&gt;0,$D13*CI$20/RampWeightSum,0),$D13/($C13-$B13+1)),0)</f>
        <v>0</v>
      </c>
      <c r="CJ13" s="22" t="n">
        <f aca="false">IF(AND(CJ$5&gt;=$B13,CJ$5&lt;=$C13,$C13&gt;=$B13),IF($E13="Ramp",IF(RampWeightSum&gt;0,$D13*CJ$20/RampWeightSum,0),$D13/($C13-$B13+1)),0)</f>
        <v>0</v>
      </c>
      <c r="CK13" s="22" t="n">
        <f aca="false">IF(AND(CK$5&gt;=$B13,CK$5&lt;=$C13,$C13&gt;=$B13),IF($E13="Ramp",IF(RampWeightSum&gt;0,$D13*CK$20/RampWeightSum,0),$D13/($C13-$B13+1)),0)</f>
        <v>0</v>
      </c>
      <c r="CL13" s="22" t="n">
        <f aca="false">IF(AND(CL$5&gt;=$B13,CL$5&lt;=$C13,$C13&gt;=$B13),IF($E13="Ramp",IF(RampWeightSum&gt;0,$D13*CL$20/RampWeightSum,0),$D13/($C13-$B13+1)),0)</f>
        <v>0</v>
      </c>
      <c r="CM13" s="22" t="n">
        <f aca="false">IF(AND(CM$5&gt;=$B13,CM$5&lt;=$C13,$C13&gt;=$B13),IF($E13="Ramp",IF(RampWeightSum&gt;0,$D13*CM$20/RampWeightSum,0),$D13/($C13-$B13+1)),0)</f>
        <v>0</v>
      </c>
      <c r="CN13" s="22" t="n">
        <f aca="false">IF(AND(CN$5&gt;=$B13,CN$5&lt;=$C13,$C13&gt;=$B13),IF($E13="Ramp",IF(RampWeightSum&gt;0,$D13*CN$20/RampWeightSum,0),$D13/($C13-$B13+1)),0)</f>
        <v>0</v>
      </c>
      <c r="CO13" s="22" t="n">
        <f aca="false">IF(AND(CO$5&gt;=$B13,CO$5&lt;=$C13,$C13&gt;=$B13),IF($E13="Ramp",IF(RampWeightSum&gt;0,$D13*CO$20/RampWeightSum,0),$D13/($C13-$B13+1)),0)</f>
        <v>0</v>
      </c>
      <c r="CP13" s="22" t="n">
        <f aca="false">IF(AND(CP$5&gt;=$B13,CP$5&lt;=$C13,$C13&gt;=$B13),IF($E13="Ramp",IF(RampWeightSum&gt;0,$D13*CP$20/RampWeightSum,0),$D13/($C13-$B13+1)),0)</f>
        <v>0</v>
      </c>
      <c r="CQ13" s="22" t="n">
        <f aca="false">IF(AND(CQ$5&gt;=$B13,CQ$5&lt;=$C13,$C13&gt;=$B13),IF($E13="Ramp",IF(RampWeightSum&gt;0,$D13*CQ$20/RampWeightSum,0),$D13/($C13-$B13+1)),0)</f>
        <v>0</v>
      </c>
      <c r="CR13" s="22" t="n">
        <f aca="false">IF(AND(CR$5&gt;=$B13,CR$5&lt;=$C13,$C13&gt;=$B13),IF($E13="Ramp",IF(RampWeightSum&gt;0,$D13*CR$20/RampWeightSum,0),$D13/($C13-$B13+1)),0)</f>
        <v>0</v>
      </c>
      <c r="CS13" s="22" t="n">
        <f aca="false">IF(AND(CS$5&gt;=$B13,CS$5&lt;=$C13,$C13&gt;=$B13),IF($E13="Ramp",IF(RampWeightSum&gt;0,$D13*CS$20/RampWeightSum,0),$D13/($C13-$B13+1)),0)</f>
        <v>0</v>
      </c>
      <c r="CT13" s="22" t="n">
        <f aca="false">IF(AND(CT$5&gt;=$B13,CT$5&lt;=$C13,$C13&gt;=$B13),IF($E13="Ramp",IF(RampWeightSum&gt;0,$D13*CT$20/RampWeightSum,0),$D13/($C13-$B13+1)),0)</f>
        <v>0</v>
      </c>
      <c r="CU13" s="22" t="n">
        <f aca="false">IF(AND(CU$5&gt;=$B13,CU$5&lt;=$C13,$C13&gt;=$B13),IF($E13="Ramp",IF(RampWeightSum&gt;0,$D13*CU$20/RampWeightSum,0),$D13/($C13-$B13+1)),0)</f>
        <v>0</v>
      </c>
      <c r="CV13" s="22" t="n">
        <f aca="false">IF(AND(CV$5&gt;=$B13,CV$5&lt;=$C13,$C13&gt;=$B13),IF($E13="Ramp",IF(RampWeightSum&gt;0,$D13*CV$20/RampWeightSum,0),$D13/($C13-$B13+1)),0)</f>
        <v>0</v>
      </c>
      <c r="CW13" s="22" t="n">
        <f aca="false">IF(AND(CW$5&gt;=$B13,CW$5&lt;=$C13,$C13&gt;=$B13),IF($E13="Ramp",IF(RampWeightSum&gt;0,$D13*CW$20/RampWeightSum,0),$D13/($C13-$B13+1)),0)</f>
        <v>0</v>
      </c>
      <c r="CX13" s="22" t="n">
        <f aca="false">IF(AND(CX$5&gt;=$B13,CX$5&lt;=$C13,$C13&gt;=$B13),IF($E13="Ramp",IF(RampWeightSum&gt;0,$D13*CX$20/RampWeightSum,0),$D13/($C13-$B13+1)),0)</f>
        <v>0</v>
      </c>
      <c r="CY13" s="22" t="n">
        <f aca="false">IF(AND(CY$5&gt;=$B13,CY$5&lt;=$C13,$C13&gt;=$B13),IF($E13="Ramp",IF(RampWeightSum&gt;0,$D13*CY$20/RampWeightSum,0),$D13/($C13-$B13+1)),0)</f>
        <v>0</v>
      </c>
      <c r="CZ13" s="22" t="n">
        <f aca="false">IF(AND(CZ$5&gt;=$B13,CZ$5&lt;=$C13,$C13&gt;=$B13),IF($E13="Ramp",IF(RampWeightSum&gt;0,$D13*CZ$20/RampWeightSum,0),$D13/($C13-$B13+1)),0)</f>
        <v>0</v>
      </c>
      <c r="DA13" s="22" t="n">
        <f aca="false">IF(AND(DA$5&gt;=$B13,DA$5&lt;=$C13,$C13&gt;=$B13),IF($E13="Ramp",IF(RampWeightSum&gt;0,$D13*DA$20/RampWeightSum,0),$D13/($C13-$B13+1)),0)</f>
        <v>0</v>
      </c>
      <c r="DB13" s="22" t="n">
        <f aca="false">IF(AND(DB$5&gt;=$B13,DB$5&lt;=$C13,$C13&gt;=$B13),IF($E13="Ramp",IF(RampWeightSum&gt;0,$D13*DB$20/RampWeightSum,0),$D13/($C13-$B13+1)),0)</f>
        <v>0</v>
      </c>
      <c r="DC13" s="22" t="n">
        <f aca="false">IF(AND(DC$5&gt;=$B13,DC$5&lt;=$C13,$C13&gt;=$B13),IF($E13="Ramp",IF(RampWeightSum&gt;0,$D13*DC$20/RampWeightSum,0),$D13/($C13-$B13+1)),0)</f>
        <v>0</v>
      </c>
      <c r="DD13" s="22" t="n">
        <f aca="false">IF(AND(DD$5&gt;=$B13,DD$5&lt;=$C13,$C13&gt;=$B13),IF($E13="Ramp",IF(RampWeightSum&gt;0,$D13*DD$20/RampWeightSum,0),$D13/($C13-$B13+1)),0)</f>
        <v>0</v>
      </c>
      <c r="DE13" s="22" t="n">
        <f aca="false">IF(AND(DE$5&gt;=$B13,DE$5&lt;=$C13,$C13&gt;=$B13),IF($E13="Ramp",IF(RampWeightSum&gt;0,$D13*DE$20/RampWeightSum,0),$D13/($C13-$B13+1)),0)</f>
        <v>0</v>
      </c>
    </row>
    <row r="14" customFormat="false" ht="15" hidden="false" customHeight="false" outlineLevel="0" collapsed="false">
      <c r="A14" s="9" t="s">
        <v>88</v>
      </c>
      <c r="B14" s="29" t="n">
        <f aca="false">INDEX(PhStart,7)</f>
        <v>13</v>
      </c>
      <c r="C14" s="29" t="n">
        <f aca="false">INDEX(PhEnd,7)</f>
        <v>34</v>
      </c>
      <c r="D14" s="22" t="n">
        <f aca="false">INDEX(PhaseHours,7)</f>
        <v>400</v>
      </c>
      <c r="E14" s="9" t="str">
        <f aca="false">Schedule!E52</f>
        <v>Flat</v>
      </c>
      <c r="F14" s="22" t="n">
        <f aca="false">IF(AND(F$5&gt;=$B14,F$5&lt;=$C14,$C14&gt;=$B14),IF($E14="Ramp",IF(RampWeightSum&gt;0,$D14*F$20/RampWeightSum,0),$D14/($C14-$B14+1)),0)</f>
        <v>0</v>
      </c>
      <c r="G14" s="22" t="n">
        <f aca="false">IF(AND(G$5&gt;=$B14,G$5&lt;=$C14,$C14&gt;=$B14),IF($E14="Ramp",IF(RampWeightSum&gt;0,$D14*G$20/RampWeightSum,0),$D14/($C14-$B14+1)),0)</f>
        <v>0</v>
      </c>
      <c r="H14" s="22" t="n">
        <f aca="false">IF(AND(H$5&gt;=$B14,H$5&lt;=$C14,$C14&gt;=$B14),IF($E14="Ramp",IF(RampWeightSum&gt;0,$D14*H$20/RampWeightSum,0),$D14/($C14-$B14+1)),0)</f>
        <v>0</v>
      </c>
      <c r="I14" s="22" t="n">
        <f aca="false">IF(AND(I$5&gt;=$B14,I$5&lt;=$C14,$C14&gt;=$B14),IF($E14="Ramp",IF(RampWeightSum&gt;0,$D14*I$20/RampWeightSum,0),$D14/($C14-$B14+1)),0)</f>
        <v>0</v>
      </c>
      <c r="J14" s="22" t="n">
        <f aca="false">IF(AND(J$5&gt;=$B14,J$5&lt;=$C14,$C14&gt;=$B14),IF($E14="Ramp",IF(RampWeightSum&gt;0,$D14*J$20/RampWeightSum,0),$D14/($C14-$B14+1)),0)</f>
        <v>0</v>
      </c>
      <c r="K14" s="22" t="n">
        <f aca="false">IF(AND(K$5&gt;=$B14,K$5&lt;=$C14,$C14&gt;=$B14),IF($E14="Ramp",IF(RampWeightSum&gt;0,$D14*K$20/RampWeightSum,0),$D14/($C14-$B14+1)),0)</f>
        <v>0</v>
      </c>
      <c r="L14" s="22" t="n">
        <f aca="false">IF(AND(L$5&gt;=$B14,L$5&lt;=$C14,$C14&gt;=$B14),IF($E14="Ramp",IF(RampWeightSum&gt;0,$D14*L$20/RampWeightSum,0),$D14/($C14-$B14+1)),0)</f>
        <v>0</v>
      </c>
      <c r="M14" s="22" t="n">
        <f aca="false">IF(AND(M$5&gt;=$B14,M$5&lt;=$C14,$C14&gt;=$B14),IF($E14="Ramp",IF(RampWeightSum&gt;0,$D14*M$20/RampWeightSum,0),$D14/($C14-$B14+1)),0)</f>
        <v>0</v>
      </c>
      <c r="N14" s="22" t="n">
        <f aca="false">IF(AND(N$5&gt;=$B14,N$5&lt;=$C14,$C14&gt;=$B14),IF($E14="Ramp",IF(RampWeightSum&gt;0,$D14*N$20/RampWeightSum,0),$D14/($C14-$B14+1)),0)</f>
        <v>0</v>
      </c>
      <c r="O14" s="22" t="n">
        <f aca="false">IF(AND(O$5&gt;=$B14,O$5&lt;=$C14,$C14&gt;=$B14),IF($E14="Ramp",IF(RampWeightSum&gt;0,$D14*O$20/RampWeightSum,0),$D14/($C14-$B14+1)),0)</f>
        <v>0</v>
      </c>
      <c r="P14" s="22" t="n">
        <f aca="false">IF(AND(P$5&gt;=$B14,P$5&lt;=$C14,$C14&gt;=$B14),IF($E14="Ramp",IF(RampWeightSum&gt;0,$D14*P$20/RampWeightSum,0),$D14/($C14-$B14+1)),0)</f>
        <v>0</v>
      </c>
      <c r="Q14" s="22" t="n">
        <f aca="false">IF(AND(Q$5&gt;=$B14,Q$5&lt;=$C14,$C14&gt;=$B14),IF($E14="Ramp",IF(RampWeightSum&gt;0,$D14*Q$20/RampWeightSum,0),$D14/($C14-$B14+1)),0)</f>
        <v>0</v>
      </c>
      <c r="R14" s="22" t="n">
        <f aca="false">IF(AND(R$5&gt;=$B14,R$5&lt;=$C14,$C14&gt;=$B14),IF($E14="Ramp",IF(RampWeightSum&gt;0,$D14*R$20/RampWeightSum,0),$D14/($C14-$B14+1)),0)</f>
        <v>18.1818181818182</v>
      </c>
      <c r="S14" s="22" t="n">
        <f aca="false">IF(AND(S$5&gt;=$B14,S$5&lt;=$C14,$C14&gt;=$B14),IF($E14="Ramp",IF(RampWeightSum&gt;0,$D14*S$20/RampWeightSum,0),$D14/($C14-$B14+1)),0)</f>
        <v>18.1818181818182</v>
      </c>
      <c r="T14" s="22" t="n">
        <f aca="false">IF(AND(T$5&gt;=$B14,T$5&lt;=$C14,$C14&gt;=$B14),IF($E14="Ramp",IF(RampWeightSum&gt;0,$D14*T$20/RampWeightSum,0),$D14/($C14-$B14+1)),0)</f>
        <v>18.1818181818182</v>
      </c>
      <c r="U14" s="22" t="n">
        <f aca="false">IF(AND(U$5&gt;=$B14,U$5&lt;=$C14,$C14&gt;=$B14),IF($E14="Ramp",IF(RampWeightSum&gt;0,$D14*U$20/RampWeightSum,0),$D14/($C14-$B14+1)),0)</f>
        <v>18.1818181818182</v>
      </c>
      <c r="V14" s="22" t="n">
        <f aca="false">IF(AND(V$5&gt;=$B14,V$5&lt;=$C14,$C14&gt;=$B14),IF($E14="Ramp",IF(RampWeightSum&gt;0,$D14*V$20/RampWeightSum,0),$D14/($C14-$B14+1)),0)</f>
        <v>18.1818181818182</v>
      </c>
      <c r="W14" s="22" t="n">
        <f aca="false">IF(AND(W$5&gt;=$B14,W$5&lt;=$C14,$C14&gt;=$B14),IF($E14="Ramp",IF(RampWeightSum&gt;0,$D14*W$20/RampWeightSum,0),$D14/($C14-$B14+1)),0)</f>
        <v>18.1818181818182</v>
      </c>
      <c r="X14" s="22" t="n">
        <f aca="false">IF(AND(X$5&gt;=$B14,X$5&lt;=$C14,$C14&gt;=$B14),IF($E14="Ramp",IF(RampWeightSum&gt;0,$D14*X$20/RampWeightSum,0),$D14/($C14-$B14+1)),0)</f>
        <v>18.1818181818182</v>
      </c>
      <c r="Y14" s="22" t="n">
        <f aca="false">IF(AND(Y$5&gt;=$B14,Y$5&lt;=$C14,$C14&gt;=$B14),IF($E14="Ramp",IF(RampWeightSum&gt;0,$D14*Y$20/RampWeightSum,0),$D14/($C14-$B14+1)),0)</f>
        <v>18.1818181818182</v>
      </c>
      <c r="Z14" s="22" t="n">
        <f aca="false">IF(AND(Z$5&gt;=$B14,Z$5&lt;=$C14,$C14&gt;=$B14),IF($E14="Ramp",IF(RampWeightSum&gt;0,$D14*Z$20/RampWeightSum,0),$D14/($C14-$B14+1)),0)</f>
        <v>18.1818181818182</v>
      </c>
      <c r="AA14" s="22" t="n">
        <f aca="false">IF(AND(AA$5&gt;=$B14,AA$5&lt;=$C14,$C14&gt;=$B14),IF($E14="Ramp",IF(RampWeightSum&gt;0,$D14*AA$20/RampWeightSum,0),$D14/($C14-$B14+1)),0)</f>
        <v>18.1818181818182</v>
      </c>
      <c r="AB14" s="22" t="n">
        <f aca="false">IF(AND(AB$5&gt;=$B14,AB$5&lt;=$C14,$C14&gt;=$B14),IF($E14="Ramp",IF(RampWeightSum&gt;0,$D14*AB$20/RampWeightSum,0),$D14/($C14-$B14+1)),0)</f>
        <v>18.1818181818182</v>
      </c>
      <c r="AC14" s="22" t="n">
        <f aca="false">IF(AND(AC$5&gt;=$B14,AC$5&lt;=$C14,$C14&gt;=$B14),IF($E14="Ramp",IF(RampWeightSum&gt;0,$D14*AC$20/RampWeightSum,0),$D14/($C14-$B14+1)),0)</f>
        <v>18.1818181818182</v>
      </c>
      <c r="AD14" s="22" t="n">
        <f aca="false">IF(AND(AD$5&gt;=$B14,AD$5&lt;=$C14,$C14&gt;=$B14),IF($E14="Ramp",IF(RampWeightSum&gt;0,$D14*AD$20/RampWeightSum,0),$D14/($C14-$B14+1)),0)</f>
        <v>18.1818181818182</v>
      </c>
      <c r="AE14" s="22" t="n">
        <f aca="false">IF(AND(AE$5&gt;=$B14,AE$5&lt;=$C14,$C14&gt;=$B14),IF($E14="Ramp",IF(RampWeightSum&gt;0,$D14*AE$20/RampWeightSum,0),$D14/($C14-$B14+1)),0)</f>
        <v>18.1818181818182</v>
      </c>
      <c r="AF14" s="22" t="n">
        <f aca="false">IF(AND(AF$5&gt;=$B14,AF$5&lt;=$C14,$C14&gt;=$B14),IF($E14="Ramp",IF(RampWeightSum&gt;0,$D14*AF$20/RampWeightSum,0),$D14/($C14-$B14+1)),0)</f>
        <v>18.1818181818182</v>
      </c>
      <c r="AG14" s="22" t="n">
        <f aca="false">IF(AND(AG$5&gt;=$B14,AG$5&lt;=$C14,$C14&gt;=$B14),IF($E14="Ramp",IF(RampWeightSum&gt;0,$D14*AG$20/RampWeightSum,0),$D14/($C14-$B14+1)),0)</f>
        <v>18.1818181818182</v>
      </c>
      <c r="AH14" s="22" t="n">
        <f aca="false">IF(AND(AH$5&gt;=$B14,AH$5&lt;=$C14,$C14&gt;=$B14),IF($E14="Ramp",IF(RampWeightSum&gt;0,$D14*AH$20/RampWeightSum,0),$D14/($C14-$B14+1)),0)</f>
        <v>18.1818181818182</v>
      </c>
      <c r="AI14" s="22" t="n">
        <f aca="false">IF(AND(AI$5&gt;=$B14,AI$5&lt;=$C14,$C14&gt;=$B14),IF($E14="Ramp",IF(RampWeightSum&gt;0,$D14*AI$20/RampWeightSum,0),$D14/($C14-$B14+1)),0)</f>
        <v>18.1818181818182</v>
      </c>
      <c r="AJ14" s="22" t="n">
        <f aca="false">IF(AND(AJ$5&gt;=$B14,AJ$5&lt;=$C14,$C14&gt;=$B14),IF($E14="Ramp",IF(RampWeightSum&gt;0,$D14*AJ$20/RampWeightSum,0),$D14/($C14-$B14+1)),0)</f>
        <v>18.1818181818182</v>
      </c>
      <c r="AK14" s="22" t="n">
        <f aca="false">IF(AND(AK$5&gt;=$B14,AK$5&lt;=$C14,$C14&gt;=$B14),IF($E14="Ramp",IF(RampWeightSum&gt;0,$D14*AK$20/RampWeightSum,0),$D14/($C14-$B14+1)),0)</f>
        <v>18.1818181818182</v>
      </c>
      <c r="AL14" s="22" t="n">
        <f aca="false">IF(AND(AL$5&gt;=$B14,AL$5&lt;=$C14,$C14&gt;=$B14),IF($E14="Ramp",IF(RampWeightSum&gt;0,$D14*AL$20/RampWeightSum,0),$D14/($C14-$B14+1)),0)</f>
        <v>18.1818181818182</v>
      </c>
      <c r="AM14" s="22" t="n">
        <f aca="false">IF(AND(AM$5&gt;=$B14,AM$5&lt;=$C14,$C14&gt;=$B14),IF($E14="Ramp",IF(RampWeightSum&gt;0,$D14*AM$20/RampWeightSum,0),$D14/($C14-$B14+1)),0)</f>
        <v>18.1818181818182</v>
      </c>
      <c r="AN14" s="22" t="n">
        <f aca="false">IF(AND(AN$5&gt;=$B14,AN$5&lt;=$C14,$C14&gt;=$B14),IF($E14="Ramp",IF(RampWeightSum&gt;0,$D14*AN$20/RampWeightSum,0),$D14/($C14-$B14+1)),0)</f>
        <v>0</v>
      </c>
      <c r="AO14" s="22" t="n">
        <f aca="false">IF(AND(AO$5&gt;=$B14,AO$5&lt;=$C14,$C14&gt;=$B14),IF($E14="Ramp",IF(RampWeightSum&gt;0,$D14*AO$20/RampWeightSum,0),$D14/($C14-$B14+1)),0)</f>
        <v>0</v>
      </c>
      <c r="AP14" s="22" t="n">
        <f aca="false">IF(AND(AP$5&gt;=$B14,AP$5&lt;=$C14,$C14&gt;=$B14),IF($E14="Ramp",IF(RampWeightSum&gt;0,$D14*AP$20/RampWeightSum,0),$D14/($C14-$B14+1)),0)</f>
        <v>0</v>
      </c>
      <c r="AQ14" s="22" t="n">
        <f aca="false">IF(AND(AQ$5&gt;=$B14,AQ$5&lt;=$C14,$C14&gt;=$B14),IF($E14="Ramp",IF(RampWeightSum&gt;0,$D14*AQ$20/RampWeightSum,0),$D14/($C14-$B14+1)),0)</f>
        <v>0</v>
      </c>
      <c r="AR14" s="22" t="n">
        <f aca="false">IF(AND(AR$5&gt;=$B14,AR$5&lt;=$C14,$C14&gt;=$B14),IF($E14="Ramp",IF(RampWeightSum&gt;0,$D14*AR$20/RampWeightSum,0),$D14/($C14-$B14+1)),0)</f>
        <v>0</v>
      </c>
      <c r="AS14" s="22" t="n">
        <f aca="false">IF(AND(AS$5&gt;=$B14,AS$5&lt;=$C14,$C14&gt;=$B14),IF($E14="Ramp",IF(RampWeightSum&gt;0,$D14*AS$20/RampWeightSum,0),$D14/($C14-$B14+1)),0)</f>
        <v>0</v>
      </c>
      <c r="AT14" s="22" t="n">
        <f aca="false">IF(AND(AT$5&gt;=$B14,AT$5&lt;=$C14,$C14&gt;=$B14),IF($E14="Ramp",IF(RampWeightSum&gt;0,$D14*AT$20/RampWeightSum,0),$D14/($C14-$B14+1)),0)</f>
        <v>0</v>
      </c>
      <c r="AU14" s="22" t="n">
        <f aca="false">IF(AND(AU$5&gt;=$B14,AU$5&lt;=$C14,$C14&gt;=$B14),IF($E14="Ramp",IF(RampWeightSum&gt;0,$D14*AU$20/RampWeightSum,0),$D14/($C14-$B14+1)),0)</f>
        <v>0</v>
      </c>
      <c r="AV14" s="22" t="n">
        <f aca="false">IF(AND(AV$5&gt;=$B14,AV$5&lt;=$C14,$C14&gt;=$B14),IF($E14="Ramp",IF(RampWeightSum&gt;0,$D14*AV$20/RampWeightSum,0),$D14/($C14-$B14+1)),0)</f>
        <v>0</v>
      </c>
      <c r="AW14" s="22" t="n">
        <f aca="false">IF(AND(AW$5&gt;=$B14,AW$5&lt;=$C14,$C14&gt;=$B14),IF($E14="Ramp",IF(RampWeightSum&gt;0,$D14*AW$20/RampWeightSum,0),$D14/($C14-$B14+1)),0)</f>
        <v>0</v>
      </c>
      <c r="AX14" s="22" t="n">
        <f aca="false">IF(AND(AX$5&gt;=$B14,AX$5&lt;=$C14,$C14&gt;=$B14),IF($E14="Ramp",IF(RampWeightSum&gt;0,$D14*AX$20/RampWeightSum,0),$D14/($C14-$B14+1)),0)</f>
        <v>0</v>
      </c>
      <c r="AY14" s="22" t="n">
        <f aca="false">IF(AND(AY$5&gt;=$B14,AY$5&lt;=$C14,$C14&gt;=$B14),IF($E14="Ramp",IF(RampWeightSum&gt;0,$D14*AY$20/RampWeightSum,0),$D14/($C14-$B14+1)),0)</f>
        <v>0</v>
      </c>
      <c r="AZ14" s="22" t="n">
        <f aca="false">IF(AND(AZ$5&gt;=$B14,AZ$5&lt;=$C14,$C14&gt;=$B14),IF($E14="Ramp",IF(RampWeightSum&gt;0,$D14*AZ$20/RampWeightSum,0),$D14/($C14-$B14+1)),0)</f>
        <v>0</v>
      </c>
      <c r="BA14" s="22" t="n">
        <f aca="false">IF(AND(BA$5&gt;=$B14,BA$5&lt;=$C14,$C14&gt;=$B14),IF($E14="Ramp",IF(RampWeightSum&gt;0,$D14*BA$20/RampWeightSum,0),$D14/($C14-$B14+1)),0)</f>
        <v>0</v>
      </c>
      <c r="BB14" s="22" t="n">
        <f aca="false">IF(AND(BB$5&gt;=$B14,BB$5&lt;=$C14,$C14&gt;=$B14),IF($E14="Ramp",IF(RampWeightSum&gt;0,$D14*BB$20/RampWeightSum,0),$D14/($C14-$B14+1)),0)</f>
        <v>0</v>
      </c>
      <c r="BC14" s="22" t="n">
        <f aca="false">IF(AND(BC$5&gt;=$B14,BC$5&lt;=$C14,$C14&gt;=$B14),IF($E14="Ramp",IF(RampWeightSum&gt;0,$D14*BC$20/RampWeightSum,0),$D14/($C14-$B14+1)),0)</f>
        <v>0</v>
      </c>
      <c r="BD14" s="22" t="n">
        <f aca="false">IF(AND(BD$5&gt;=$B14,BD$5&lt;=$C14,$C14&gt;=$B14),IF($E14="Ramp",IF(RampWeightSum&gt;0,$D14*BD$20/RampWeightSum,0),$D14/($C14-$B14+1)),0)</f>
        <v>0</v>
      </c>
      <c r="BE14" s="22" t="n">
        <f aca="false">IF(AND(BE$5&gt;=$B14,BE$5&lt;=$C14,$C14&gt;=$B14),IF($E14="Ramp",IF(RampWeightSum&gt;0,$D14*BE$20/RampWeightSum,0),$D14/($C14-$B14+1)),0)</f>
        <v>0</v>
      </c>
      <c r="BF14" s="22" t="n">
        <f aca="false">IF(AND(BF$5&gt;=$B14,BF$5&lt;=$C14,$C14&gt;=$B14),IF($E14="Ramp",IF(RampWeightSum&gt;0,$D14*BF$20/RampWeightSum,0),$D14/($C14-$B14+1)),0)</f>
        <v>0</v>
      </c>
      <c r="BG14" s="22" t="n">
        <f aca="false">IF(AND(BG$5&gt;=$B14,BG$5&lt;=$C14,$C14&gt;=$B14),IF($E14="Ramp",IF(RampWeightSum&gt;0,$D14*BG$20/RampWeightSum,0),$D14/($C14-$B14+1)),0)</f>
        <v>0</v>
      </c>
      <c r="BH14" s="22" t="n">
        <f aca="false">IF(AND(BH$5&gt;=$B14,BH$5&lt;=$C14,$C14&gt;=$B14),IF($E14="Ramp",IF(RampWeightSum&gt;0,$D14*BH$20/RampWeightSum,0),$D14/($C14-$B14+1)),0)</f>
        <v>0</v>
      </c>
      <c r="BI14" s="22" t="n">
        <f aca="false">IF(AND(BI$5&gt;=$B14,BI$5&lt;=$C14,$C14&gt;=$B14),IF($E14="Ramp",IF(RampWeightSum&gt;0,$D14*BI$20/RampWeightSum,0),$D14/($C14-$B14+1)),0)</f>
        <v>0</v>
      </c>
      <c r="BJ14" s="22" t="n">
        <f aca="false">IF(AND(BJ$5&gt;=$B14,BJ$5&lt;=$C14,$C14&gt;=$B14),IF($E14="Ramp",IF(RampWeightSum&gt;0,$D14*BJ$20/RampWeightSum,0),$D14/($C14-$B14+1)),0)</f>
        <v>0</v>
      </c>
      <c r="BK14" s="22" t="n">
        <f aca="false">IF(AND(BK$5&gt;=$B14,BK$5&lt;=$C14,$C14&gt;=$B14),IF($E14="Ramp",IF(RampWeightSum&gt;0,$D14*BK$20/RampWeightSum,0),$D14/($C14-$B14+1)),0)</f>
        <v>0</v>
      </c>
      <c r="BL14" s="22" t="n">
        <f aca="false">IF(AND(BL$5&gt;=$B14,BL$5&lt;=$C14,$C14&gt;=$B14),IF($E14="Ramp",IF(RampWeightSum&gt;0,$D14*BL$20/RampWeightSum,0),$D14/($C14-$B14+1)),0)</f>
        <v>0</v>
      </c>
      <c r="BM14" s="22" t="n">
        <f aca="false">IF(AND(BM$5&gt;=$B14,BM$5&lt;=$C14,$C14&gt;=$B14),IF($E14="Ramp",IF(RampWeightSum&gt;0,$D14*BM$20/RampWeightSum,0),$D14/($C14-$B14+1)),0)</f>
        <v>0</v>
      </c>
      <c r="BN14" s="22" t="n">
        <f aca="false">IF(AND(BN$5&gt;=$B14,BN$5&lt;=$C14,$C14&gt;=$B14),IF($E14="Ramp",IF(RampWeightSum&gt;0,$D14*BN$20/RampWeightSum,0),$D14/($C14-$B14+1)),0)</f>
        <v>0</v>
      </c>
      <c r="BO14" s="22" t="n">
        <f aca="false">IF(AND(BO$5&gt;=$B14,BO$5&lt;=$C14,$C14&gt;=$B14),IF($E14="Ramp",IF(RampWeightSum&gt;0,$D14*BO$20/RampWeightSum,0),$D14/($C14-$B14+1)),0)</f>
        <v>0</v>
      </c>
      <c r="BP14" s="22" t="n">
        <f aca="false">IF(AND(BP$5&gt;=$B14,BP$5&lt;=$C14,$C14&gt;=$B14),IF($E14="Ramp",IF(RampWeightSum&gt;0,$D14*BP$20/RampWeightSum,0),$D14/($C14-$B14+1)),0)</f>
        <v>0</v>
      </c>
      <c r="BQ14" s="22" t="n">
        <f aca="false">IF(AND(BQ$5&gt;=$B14,BQ$5&lt;=$C14,$C14&gt;=$B14),IF($E14="Ramp",IF(RampWeightSum&gt;0,$D14*BQ$20/RampWeightSum,0),$D14/($C14-$B14+1)),0)</f>
        <v>0</v>
      </c>
      <c r="BR14" s="22" t="n">
        <f aca="false">IF(AND(BR$5&gt;=$B14,BR$5&lt;=$C14,$C14&gt;=$B14),IF($E14="Ramp",IF(RampWeightSum&gt;0,$D14*BR$20/RampWeightSum,0),$D14/($C14-$B14+1)),0)</f>
        <v>0</v>
      </c>
      <c r="BS14" s="22" t="n">
        <f aca="false">IF(AND(BS$5&gt;=$B14,BS$5&lt;=$C14,$C14&gt;=$B14),IF($E14="Ramp",IF(RampWeightSum&gt;0,$D14*BS$20/RampWeightSum,0),$D14/($C14-$B14+1)),0)</f>
        <v>0</v>
      </c>
      <c r="BT14" s="22" t="n">
        <f aca="false">IF(AND(BT$5&gt;=$B14,BT$5&lt;=$C14,$C14&gt;=$B14),IF($E14="Ramp",IF(RampWeightSum&gt;0,$D14*BT$20/RampWeightSum,0),$D14/($C14-$B14+1)),0)</f>
        <v>0</v>
      </c>
      <c r="BU14" s="22" t="n">
        <f aca="false">IF(AND(BU$5&gt;=$B14,BU$5&lt;=$C14,$C14&gt;=$B14),IF($E14="Ramp",IF(RampWeightSum&gt;0,$D14*BU$20/RampWeightSum,0),$D14/($C14-$B14+1)),0)</f>
        <v>0</v>
      </c>
      <c r="BV14" s="22" t="n">
        <f aca="false">IF(AND(BV$5&gt;=$B14,BV$5&lt;=$C14,$C14&gt;=$B14),IF($E14="Ramp",IF(RampWeightSum&gt;0,$D14*BV$20/RampWeightSum,0),$D14/($C14-$B14+1)),0)</f>
        <v>0</v>
      </c>
      <c r="BW14" s="22" t="n">
        <f aca="false">IF(AND(BW$5&gt;=$B14,BW$5&lt;=$C14,$C14&gt;=$B14),IF($E14="Ramp",IF(RampWeightSum&gt;0,$D14*BW$20/RampWeightSum,0),$D14/($C14-$B14+1)),0)</f>
        <v>0</v>
      </c>
      <c r="BX14" s="22" t="n">
        <f aca="false">IF(AND(BX$5&gt;=$B14,BX$5&lt;=$C14,$C14&gt;=$B14),IF($E14="Ramp",IF(RampWeightSum&gt;0,$D14*BX$20/RampWeightSum,0),$D14/($C14-$B14+1)),0)</f>
        <v>0</v>
      </c>
      <c r="BY14" s="22" t="n">
        <f aca="false">IF(AND(BY$5&gt;=$B14,BY$5&lt;=$C14,$C14&gt;=$B14),IF($E14="Ramp",IF(RampWeightSum&gt;0,$D14*BY$20/RampWeightSum,0),$D14/($C14-$B14+1)),0)</f>
        <v>0</v>
      </c>
      <c r="BZ14" s="22" t="n">
        <f aca="false">IF(AND(BZ$5&gt;=$B14,BZ$5&lt;=$C14,$C14&gt;=$B14),IF($E14="Ramp",IF(RampWeightSum&gt;0,$D14*BZ$20/RampWeightSum,0),$D14/($C14-$B14+1)),0)</f>
        <v>0</v>
      </c>
      <c r="CA14" s="22" t="n">
        <f aca="false">IF(AND(CA$5&gt;=$B14,CA$5&lt;=$C14,$C14&gt;=$B14),IF($E14="Ramp",IF(RampWeightSum&gt;0,$D14*CA$20/RampWeightSum,0),$D14/($C14-$B14+1)),0)</f>
        <v>0</v>
      </c>
      <c r="CB14" s="22" t="n">
        <f aca="false">IF(AND(CB$5&gt;=$B14,CB$5&lt;=$C14,$C14&gt;=$B14),IF($E14="Ramp",IF(RampWeightSum&gt;0,$D14*CB$20/RampWeightSum,0),$D14/($C14-$B14+1)),0)</f>
        <v>0</v>
      </c>
      <c r="CC14" s="22" t="n">
        <f aca="false">IF(AND(CC$5&gt;=$B14,CC$5&lt;=$C14,$C14&gt;=$B14),IF($E14="Ramp",IF(RampWeightSum&gt;0,$D14*CC$20/RampWeightSum,0),$D14/($C14-$B14+1)),0)</f>
        <v>0</v>
      </c>
      <c r="CD14" s="22" t="n">
        <f aca="false">IF(AND(CD$5&gt;=$B14,CD$5&lt;=$C14,$C14&gt;=$B14),IF($E14="Ramp",IF(RampWeightSum&gt;0,$D14*CD$20/RampWeightSum,0),$D14/($C14-$B14+1)),0)</f>
        <v>0</v>
      </c>
      <c r="CE14" s="22" t="n">
        <f aca="false">IF(AND(CE$5&gt;=$B14,CE$5&lt;=$C14,$C14&gt;=$B14),IF($E14="Ramp",IF(RampWeightSum&gt;0,$D14*CE$20/RampWeightSum,0),$D14/($C14-$B14+1)),0)</f>
        <v>0</v>
      </c>
      <c r="CF14" s="22" t="n">
        <f aca="false">IF(AND(CF$5&gt;=$B14,CF$5&lt;=$C14,$C14&gt;=$B14),IF($E14="Ramp",IF(RampWeightSum&gt;0,$D14*CF$20/RampWeightSum,0),$D14/($C14-$B14+1)),0)</f>
        <v>0</v>
      </c>
      <c r="CG14" s="22" t="n">
        <f aca="false">IF(AND(CG$5&gt;=$B14,CG$5&lt;=$C14,$C14&gt;=$B14),IF($E14="Ramp",IF(RampWeightSum&gt;0,$D14*CG$20/RampWeightSum,0),$D14/($C14-$B14+1)),0)</f>
        <v>0</v>
      </c>
      <c r="CH14" s="22" t="n">
        <f aca="false">IF(AND(CH$5&gt;=$B14,CH$5&lt;=$C14,$C14&gt;=$B14),IF($E14="Ramp",IF(RampWeightSum&gt;0,$D14*CH$20/RampWeightSum,0),$D14/($C14-$B14+1)),0)</f>
        <v>0</v>
      </c>
      <c r="CI14" s="22" t="n">
        <f aca="false">IF(AND(CI$5&gt;=$B14,CI$5&lt;=$C14,$C14&gt;=$B14),IF($E14="Ramp",IF(RampWeightSum&gt;0,$D14*CI$20/RampWeightSum,0),$D14/($C14-$B14+1)),0)</f>
        <v>0</v>
      </c>
      <c r="CJ14" s="22" t="n">
        <f aca="false">IF(AND(CJ$5&gt;=$B14,CJ$5&lt;=$C14,$C14&gt;=$B14),IF($E14="Ramp",IF(RampWeightSum&gt;0,$D14*CJ$20/RampWeightSum,0),$D14/($C14-$B14+1)),0)</f>
        <v>0</v>
      </c>
      <c r="CK14" s="22" t="n">
        <f aca="false">IF(AND(CK$5&gt;=$B14,CK$5&lt;=$C14,$C14&gt;=$B14),IF($E14="Ramp",IF(RampWeightSum&gt;0,$D14*CK$20/RampWeightSum,0),$D14/($C14-$B14+1)),0)</f>
        <v>0</v>
      </c>
      <c r="CL14" s="22" t="n">
        <f aca="false">IF(AND(CL$5&gt;=$B14,CL$5&lt;=$C14,$C14&gt;=$B14),IF($E14="Ramp",IF(RampWeightSum&gt;0,$D14*CL$20/RampWeightSum,0),$D14/($C14-$B14+1)),0)</f>
        <v>0</v>
      </c>
      <c r="CM14" s="22" t="n">
        <f aca="false">IF(AND(CM$5&gt;=$B14,CM$5&lt;=$C14,$C14&gt;=$B14),IF($E14="Ramp",IF(RampWeightSum&gt;0,$D14*CM$20/RampWeightSum,0),$D14/($C14-$B14+1)),0)</f>
        <v>0</v>
      </c>
      <c r="CN14" s="22" t="n">
        <f aca="false">IF(AND(CN$5&gt;=$B14,CN$5&lt;=$C14,$C14&gt;=$B14),IF($E14="Ramp",IF(RampWeightSum&gt;0,$D14*CN$20/RampWeightSum,0),$D14/($C14-$B14+1)),0)</f>
        <v>0</v>
      </c>
      <c r="CO14" s="22" t="n">
        <f aca="false">IF(AND(CO$5&gt;=$B14,CO$5&lt;=$C14,$C14&gt;=$B14),IF($E14="Ramp",IF(RampWeightSum&gt;0,$D14*CO$20/RampWeightSum,0),$D14/($C14-$B14+1)),0)</f>
        <v>0</v>
      </c>
      <c r="CP14" s="22" t="n">
        <f aca="false">IF(AND(CP$5&gt;=$B14,CP$5&lt;=$C14,$C14&gt;=$B14),IF($E14="Ramp",IF(RampWeightSum&gt;0,$D14*CP$20/RampWeightSum,0),$D14/($C14-$B14+1)),0)</f>
        <v>0</v>
      </c>
      <c r="CQ14" s="22" t="n">
        <f aca="false">IF(AND(CQ$5&gt;=$B14,CQ$5&lt;=$C14,$C14&gt;=$B14),IF($E14="Ramp",IF(RampWeightSum&gt;0,$D14*CQ$20/RampWeightSum,0),$D14/($C14-$B14+1)),0)</f>
        <v>0</v>
      </c>
      <c r="CR14" s="22" t="n">
        <f aca="false">IF(AND(CR$5&gt;=$B14,CR$5&lt;=$C14,$C14&gt;=$B14),IF($E14="Ramp",IF(RampWeightSum&gt;0,$D14*CR$20/RampWeightSum,0),$D14/($C14-$B14+1)),0)</f>
        <v>0</v>
      </c>
      <c r="CS14" s="22" t="n">
        <f aca="false">IF(AND(CS$5&gt;=$B14,CS$5&lt;=$C14,$C14&gt;=$B14),IF($E14="Ramp",IF(RampWeightSum&gt;0,$D14*CS$20/RampWeightSum,0),$D14/($C14-$B14+1)),0)</f>
        <v>0</v>
      </c>
      <c r="CT14" s="22" t="n">
        <f aca="false">IF(AND(CT$5&gt;=$B14,CT$5&lt;=$C14,$C14&gt;=$B14),IF($E14="Ramp",IF(RampWeightSum&gt;0,$D14*CT$20/RampWeightSum,0),$D14/($C14-$B14+1)),0)</f>
        <v>0</v>
      </c>
      <c r="CU14" s="22" t="n">
        <f aca="false">IF(AND(CU$5&gt;=$B14,CU$5&lt;=$C14,$C14&gt;=$B14),IF($E14="Ramp",IF(RampWeightSum&gt;0,$D14*CU$20/RampWeightSum,0),$D14/($C14-$B14+1)),0)</f>
        <v>0</v>
      </c>
      <c r="CV14" s="22" t="n">
        <f aca="false">IF(AND(CV$5&gt;=$B14,CV$5&lt;=$C14,$C14&gt;=$B14),IF($E14="Ramp",IF(RampWeightSum&gt;0,$D14*CV$20/RampWeightSum,0),$D14/($C14-$B14+1)),0)</f>
        <v>0</v>
      </c>
      <c r="CW14" s="22" t="n">
        <f aca="false">IF(AND(CW$5&gt;=$B14,CW$5&lt;=$C14,$C14&gt;=$B14),IF($E14="Ramp",IF(RampWeightSum&gt;0,$D14*CW$20/RampWeightSum,0),$D14/($C14-$B14+1)),0)</f>
        <v>0</v>
      </c>
      <c r="CX14" s="22" t="n">
        <f aca="false">IF(AND(CX$5&gt;=$B14,CX$5&lt;=$C14,$C14&gt;=$B14),IF($E14="Ramp",IF(RampWeightSum&gt;0,$D14*CX$20/RampWeightSum,0),$D14/($C14-$B14+1)),0)</f>
        <v>0</v>
      </c>
      <c r="CY14" s="22" t="n">
        <f aca="false">IF(AND(CY$5&gt;=$B14,CY$5&lt;=$C14,$C14&gt;=$B14),IF($E14="Ramp",IF(RampWeightSum&gt;0,$D14*CY$20/RampWeightSum,0),$D14/($C14-$B14+1)),0)</f>
        <v>0</v>
      </c>
      <c r="CZ14" s="22" t="n">
        <f aca="false">IF(AND(CZ$5&gt;=$B14,CZ$5&lt;=$C14,$C14&gt;=$B14),IF($E14="Ramp",IF(RampWeightSum&gt;0,$D14*CZ$20/RampWeightSum,0),$D14/($C14-$B14+1)),0)</f>
        <v>0</v>
      </c>
      <c r="DA14" s="22" t="n">
        <f aca="false">IF(AND(DA$5&gt;=$B14,DA$5&lt;=$C14,$C14&gt;=$B14),IF($E14="Ramp",IF(RampWeightSum&gt;0,$D14*DA$20/RampWeightSum,0),$D14/($C14-$B14+1)),0)</f>
        <v>0</v>
      </c>
      <c r="DB14" s="22" t="n">
        <f aca="false">IF(AND(DB$5&gt;=$B14,DB$5&lt;=$C14,$C14&gt;=$B14),IF($E14="Ramp",IF(RampWeightSum&gt;0,$D14*DB$20/RampWeightSum,0),$D14/($C14-$B14+1)),0)</f>
        <v>0</v>
      </c>
      <c r="DC14" s="22" t="n">
        <f aca="false">IF(AND(DC$5&gt;=$B14,DC$5&lt;=$C14,$C14&gt;=$B14),IF($E14="Ramp",IF(RampWeightSum&gt;0,$D14*DC$20/RampWeightSum,0),$D14/($C14-$B14+1)),0)</f>
        <v>0</v>
      </c>
      <c r="DD14" s="22" t="n">
        <f aca="false">IF(AND(DD$5&gt;=$B14,DD$5&lt;=$C14,$C14&gt;=$B14),IF($E14="Ramp",IF(RampWeightSum&gt;0,$D14*DD$20/RampWeightSum,0),$D14/($C14-$B14+1)),0)</f>
        <v>0</v>
      </c>
      <c r="DE14" s="22" t="n">
        <f aca="false">IF(AND(DE$5&gt;=$B14,DE$5&lt;=$C14,$C14&gt;=$B14),IF($E14="Ramp",IF(RampWeightSum&gt;0,$D14*DE$20/RampWeightSum,0),$D14/($C14-$B14+1)),0)</f>
        <v>0</v>
      </c>
    </row>
    <row r="15" customFormat="false" ht="15" hidden="false" customHeight="false" outlineLevel="0" collapsed="false">
      <c r="A15" s="9" t="s">
        <v>89</v>
      </c>
      <c r="B15" s="29" t="n">
        <f aca="false">INDEX(PhStart,8)</f>
        <v>27</v>
      </c>
      <c r="C15" s="29" t="n">
        <f aca="false">INDEX(PhEnd,8)</f>
        <v>36</v>
      </c>
      <c r="D15" s="22" t="n">
        <f aca="false">INDEX(PhaseHours,8)</f>
        <v>320</v>
      </c>
      <c r="E15" s="9" t="str">
        <f aca="false">Schedule!E53</f>
        <v>Flat</v>
      </c>
      <c r="F15" s="22" t="n">
        <f aca="false">IF(AND(F$5&gt;=$B15,F$5&lt;=$C15,$C15&gt;=$B15),IF($E15="Ramp",IF(RampWeightSum&gt;0,$D15*F$20/RampWeightSum,0),$D15/($C15-$B15+1)),0)</f>
        <v>0</v>
      </c>
      <c r="G15" s="22" t="n">
        <f aca="false">IF(AND(G$5&gt;=$B15,G$5&lt;=$C15,$C15&gt;=$B15),IF($E15="Ramp",IF(RampWeightSum&gt;0,$D15*G$20/RampWeightSum,0),$D15/($C15-$B15+1)),0)</f>
        <v>0</v>
      </c>
      <c r="H15" s="22" t="n">
        <f aca="false">IF(AND(H$5&gt;=$B15,H$5&lt;=$C15,$C15&gt;=$B15),IF($E15="Ramp",IF(RampWeightSum&gt;0,$D15*H$20/RampWeightSum,0),$D15/($C15-$B15+1)),0)</f>
        <v>0</v>
      </c>
      <c r="I15" s="22" t="n">
        <f aca="false">IF(AND(I$5&gt;=$B15,I$5&lt;=$C15,$C15&gt;=$B15),IF($E15="Ramp",IF(RampWeightSum&gt;0,$D15*I$20/RampWeightSum,0),$D15/($C15-$B15+1)),0)</f>
        <v>0</v>
      </c>
      <c r="J15" s="22" t="n">
        <f aca="false">IF(AND(J$5&gt;=$B15,J$5&lt;=$C15,$C15&gt;=$B15),IF($E15="Ramp",IF(RampWeightSum&gt;0,$D15*J$20/RampWeightSum,0),$D15/($C15-$B15+1)),0)</f>
        <v>0</v>
      </c>
      <c r="K15" s="22" t="n">
        <f aca="false">IF(AND(K$5&gt;=$B15,K$5&lt;=$C15,$C15&gt;=$B15),IF($E15="Ramp",IF(RampWeightSum&gt;0,$D15*K$20/RampWeightSum,0),$D15/($C15-$B15+1)),0)</f>
        <v>0</v>
      </c>
      <c r="L15" s="22" t="n">
        <f aca="false">IF(AND(L$5&gt;=$B15,L$5&lt;=$C15,$C15&gt;=$B15),IF($E15="Ramp",IF(RampWeightSum&gt;0,$D15*L$20/RampWeightSum,0),$D15/($C15-$B15+1)),0)</f>
        <v>0</v>
      </c>
      <c r="M15" s="22" t="n">
        <f aca="false">IF(AND(M$5&gt;=$B15,M$5&lt;=$C15,$C15&gt;=$B15),IF($E15="Ramp",IF(RampWeightSum&gt;0,$D15*M$20/RampWeightSum,0),$D15/($C15-$B15+1)),0)</f>
        <v>0</v>
      </c>
      <c r="N15" s="22" t="n">
        <f aca="false">IF(AND(N$5&gt;=$B15,N$5&lt;=$C15,$C15&gt;=$B15),IF($E15="Ramp",IF(RampWeightSum&gt;0,$D15*N$20/RampWeightSum,0),$D15/($C15-$B15+1)),0)</f>
        <v>0</v>
      </c>
      <c r="O15" s="22" t="n">
        <f aca="false">IF(AND(O$5&gt;=$B15,O$5&lt;=$C15,$C15&gt;=$B15),IF($E15="Ramp",IF(RampWeightSum&gt;0,$D15*O$20/RampWeightSum,0),$D15/($C15-$B15+1)),0)</f>
        <v>0</v>
      </c>
      <c r="P15" s="22" t="n">
        <f aca="false">IF(AND(P$5&gt;=$B15,P$5&lt;=$C15,$C15&gt;=$B15),IF($E15="Ramp",IF(RampWeightSum&gt;0,$D15*P$20/RampWeightSum,0),$D15/($C15-$B15+1)),0)</f>
        <v>0</v>
      </c>
      <c r="Q15" s="22" t="n">
        <f aca="false">IF(AND(Q$5&gt;=$B15,Q$5&lt;=$C15,$C15&gt;=$B15),IF($E15="Ramp",IF(RampWeightSum&gt;0,$D15*Q$20/RampWeightSum,0),$D15/($C15-$B15+1)),0)</f>
        <v>0</v>
      </c>
      <c r="R15" s="22" t="n">
        <f aca="false">IF(AND(R$5&gt;=$B15,R$5&lt;=$C15,$C15&gt;=$B15),IF($E15="Ramp",IF(RampWeightSum&gt;0,$D15*R$20/RampWeightSum,0),$D15/($C15-$B15+1)),0)</f>
        <v>0</v>
      </c>
      <c r="S15" s="22" t="n">
        <f aca="false">IF(AND(S$5&gt;=$B15,S$5&lt;=$C15,$C15&gt;=$B15),IF($E15="Ramp",IF(RampWeightSum&gt;0,$D15*S$20/RampWeightSum,0),$D15/($C15-$B15+1)),0)</f>
        <v>0</v>
      </c>
      <c r="T15" s="22" t="n">
        <f aca="false">IF(AND(T$5&gt;=$B15,T$5&lt;=$C15,$C15&gt;=$B15),IF($E15="Ramp",IF(RampWeightSum&gt;0,$D15*T$20/RampWeightSum,0),$D15/($C15-$B15+1)),0)</f>
        <v>0</v>
      </c>
      <c r="U15" s="22" t="n">
        <f aca="false">IF(AND(U$5&gt;=$B15,U$5&lt;=$C15,$C15&gt;=$B15),IF($E15="Ramp",IF(RampWeightSum&gt;0,$D15*U$20/RampWeightSum,0),$D15/($C15-$B15+1)),0)</f>
        <v>0</v>
      </c>
      <c r="V15" s="22" t="n">
        <f aca="false">IF(AND(V$5&gt;=$B15,V$5&lt;=$C15,$C15&gt;=$B15),IF($E15="Ramp",IF(RampWeightSum&gt;0,$D15*V$20/RampWeightSum,0),$D15/($C15-$B15+1)),0)</f>
        <v>0</v>
      </c>
      <c r="W15" s="22" t="n">
        <f aca="false">IF(AND(W$5&gt;=$B15,W$5&lt;=$C15,$C15&gt;=$B15),IF($E15="Ramp",IF(RampWeightSum&gt;0,$D15*W$20/RampWeightSum,0),$D15/($C15-$B15+1)),0)</f>
        <v>0</v>
      </c>
      <c r="X15" s="22" t="n">
        <f aca="false">IF(AND(X$5&gt;=$B15,X$5&lt;=$C15,$C15&gt;=$B15),IF($E15="Ramp",IF(RampWeightSum&gt;0,$D15*X$20/RampWeightSum,0),$D15/($C15-$B15+1)),0)</f>
        <v>0</v>
      </c>
      <c r="Y15" s="22" t="n">
        <f aca="false">IF(AND(Y$5&gt;=$B15,Y$5&lt;=$C15,$C15&gt;=$B15),IF($E15="Ramp",IF(RampWeightSum&gt;0,$D15*Y$20/RampWeightSum,0),$D15/($C15-$B15+1)),0)</f>
        <v>0</v>
      </c>
      <c r="Z15" s="22" t="n">
        <f aca="false">IF(AND(Z$5&gt;=$B15,Z$5&lt;=$C15,$C15&gt;=$B15),IF($E15="Ramp",IF(RampWeightSum&gt;0,$D15*Z$20/RampWeightSum,0),$D15/($C15-$B15+1)),0)</f>
        <v>0</v>
      </c>
      <c r="AA15" s="22" t="n">
        <f aca="false">IF(AND(AA$5&gt;=$B15,AA$5&lt;=$C15,$C15&gt;=$B15),IF($E15="Ramp",IF(RampWeightSum&gt;0,$D15*AA$20/RampWeightSum,0),$D15/($C15-$B15+1)),0)</f>
        <v>0</v>
      </c>
      <c r="AB15" s="22" t="n">
        <f aca="false">IF(AND(AB$5&gt;=$B15,AB$5&lt;=$C15,$C15&gt;=$B15),IF($E15="Ramp",IF(RampWeightSum&gt;0,$D15*AB$20/RampWeightSum,0),$D15/($C15-$B15+1)),0)</f>
        <v>0</v>
      </c>
      <c r="AC15" s="22" t="n">
        <f aca="false">IF(AND(AC$5&gt;=$B15,AC$5&lt;=$C15,$C15&gt;=$B15),IF($E15="Ramp",IF(RampWeightSum&gt;0,$D15*AC$20/RampWeightSum,0),$D15/($C15-$B15+1)),0)</f>
        <v>0</v>
      </c>
      <c r="AD15" s="22" t="n">
        <f aca="false">IF(AND(AD$5&gt;=$B15,AD$5&lt;=$C15,$C15&gt;=$B15),IF($E15="Ramp",IF(RampWeightSum&gt;0,$D15*AD$20/RampWeightSum,0),$D15/($C15-$B15+1)),0)</f>
        <v>0</v>
      </c>
      <c r="AE15" s="22" t="n">
        <f aca="false">IF(AND(AE$5&gt;=$B15,AE$5&lt;=$C15,$C15&gt;=$B15),IF($E15="Ramp",IF(RampWeightSum&gt;0,$D15*AE$20/RampWeightSum,0),$D15/($C15-$B15+1)),0)</f>
        <v>0</v>
      </c>
      <c r="AF15" s="22" t="n">
        <f aca="false">IF(AND(AF$5&gt;=$B15,AF$5&lt;=$C15,$C15&gt;=$B15),IF($E15="Ramp",IF(RampWeightSum&gt;0,$D15*AF$20/RampWeightSum,0),$D15/($C15-$B15+1)),0)</f>
        <v>32</v>
      </c>
      <c r="AG15" s="22" t="n">
        <f aca="false">IF(AND(AG$5&gt;=$B15,AG$5&lt;=$C15,$C15&gt;=$B15),IF($E15="Ramp",IF(RampWeightSum&gt;0,$D15*AG$20/RampWeightSum,0),$D15/($C15-$B15+1)),0)</f>
        <v>32</v>
      </c>
      <c r="AH15" s="22" t="n">
        <f aca="false">IF(AND(AH$5&gt;=$B15,AH$5&lt;=$C15,$C15&gt;=$B15),IF($E15="Ramp",IF(RampWeightSum&gt;0,$D15*AH$20/RampWeightSum,0),$D15/($C15-$B15+1)),0)</f>
        <v>32</v>
      </c>
      <c r="AI15" s="22" t="n">
        <f aca="false">IF(AND(AI$5&gt;=$B15,AI$5&lt;=$C15,$C15&gt;=$B15),IF($E15="Ramp",IF(RampWeightSum&gt;0,$D15*AI$20/RampWeightSum,0),$D15/($C15-$B15+1)),0)</f>
        <v>32</v>
      </c>
      <c r="AJ15" s="22" t="n">
        <f aca="false">IF(AND(AJ$5&gt;=$B15,AJ$5&lt;=$C15,$C15&gt;=$B15),IF($E15="Ramp",IF(RampWeightSum&gt;0,$D15*AJ$20/RampWeightSum,0),$D15/($C15-$B15+1)),0)</f>
        <v>32</v>
      </c>
      <c r="AK15" s="22" t="n">
        <f aca="false">IF(AND(AK$5&gt;=$B15,AK$5&lt;=$C15,$C15&gt;=$B15),IF($E15="Ramp",IF(RampWeightSum&gt;0,$D15*AK$20/RampWeightSum,0),$D15/($C15-$B15+1)),0)</f>
        <v>32</v>
      </c>
      <c r="AL15" s="22" t="n">
        <f aca="false">IF(AND(AL$5&gt;=$B15,AL$5&lt;=$C15,$C15&gt;=$B15),IF($E15="Ramp",IF(RampWeightSum&gt;0,$D15*AL$20/RampWeightSum,0),$D15/($C15-$B15+1)),0)</f>
        <v>32</v>
      </c>
      <c r="AM15" s="22" t="n">
        <f aca="false">IF(AND(AM$5&gt;=$B15,AM$5&lt;=$C15,$C15&gt;=$B15),IF($E15="Ramp",IF(RampWeightSum&gt;0,$D15*AM$20/RampWeightSum,0),$D15/($C15-$B15+1)),0)</f>
        <v>32</v>
      </c>
      <c r="AN15" s="22" t="n">
        <f aca="false">IF(AND(AN$5&gt;=$B15,AN$5&lt;=$C15,$C15&gt;=$B15),IF($E15="Ramp",IF(RampWeightSum&gt;0,$D15*AN$20/RampWeightSum,0),$D15/($C15-$B15+1)),0)</f>
        <v>32</v>
      </c>
      <c r="AO15" s="22" t="n">
        <f aca="false">IF(AND(AO$5&gt;=$B15,AO$5&lt;=$C15,$C15&gt;=$B15),IF($E15="Ramp",IF(RampWeightSum&gt;0,$D15*AO$20/RampWeightSum,0),$D15/($C15-$B15+1)),0)</f>
        <v>32</v>
      </c>
      <c r="AP15" s="22" t="n">
        <f aca="false">IF(AND(AP$5&gt;=$B15,AP$5&lt;=$C15,$C15&gt;=$B15),IF($E15="Ramp",IF(RampWeightSum&gt;0,$D15*AP$20/RampWeightSum,0),$D15/($C15-$B15+1)),0)</f>
        <v>0</v>
      </c>
      <c r="AQ15" s="22" t="n">
        <f aca="false">IF(AND(AQ$5&gt;=$B15,AQ$5&lt;=$C15,$C15&gt;=$B15),IF($E15="Ramp",IF(RampWeightSum&gt;0,$D15*AQ$20/RampWeightSum,0),$D15/($C15-$B15+1)),0)</f>
        <v>0</v>
      </c>
      <c r="AR15" s="22" t="n">
        <f aca="false">IF(AND(AR$5&gt;=$B15,AR$5&lt;=$C15,$C15&gt;=$B15),IF($E15="Ramp",IF(RampWeightSum&gt;0,$D15*AR$20/RampWeightSum,0),$D15/($C15-$B15+1)),0)</f>
        <v>0</v>
      </c>
      <c r="AS15" s="22" t="n">
        <f aca="false">IF(AND(AS$5&gt;=$B15,AS$5&lt;=$C15,$C15&gt;=$B15),IF($E15="Ramp",IF(RampWeightSum&gt;0,$D15*AS$20/RampWeightSum,0),$D15/($C15-$B15+1)),0)</f>
        <v>0</v>
      </c>
      <c r="AT15" s="22" t="n">
        <f aca="false">IF(AND(AT$5&gt;=$B15,AT$5&lt;=$C15,$C15&gt;=$B15),IF($E15="Ramp",IF(RampWeightSum&gt;0,$D15*AT$20/RampWeightSum,0),$D15/($C15-$B15+1)),0)</f>
        <v>0</v>
      </c>
      <c r="AU15" s="22" t="n">
        <f aca="false">IF(AND(AU$5&gt;=$B15,AU$5&lt;=$C15,$C15&gt;=$B15),IF($E15="Ramp",IF(RampWeightSum&gt;0,$D15*AU$20/RampWeightSum,0),$D15/($C15-$B15+1)),0)</f>
        <v>0</v>
      </c>
      <c r="AV15" s="22" t="n">
        <f aca="false">IF(AND(AV$5&gt;=$B15,AV$5&lt;=$C15,$C15&gt;=$B15),IF($E15="Ramp",IF(RampWeightSum&gt;0,$D15*AV$20/RampWeightSum,0),$D15/($C15-$B15+1)),0)</f>
        <v>0</v>
      </c>
      <c r="AW15" s="22" t="n">
        <f aca="false">IF(AND(AW$5&gt;=$B15,AW$5&lt;=$C15,$C15&gt;=$B15),IF($E15="Ramp",IF(RampWeightSum&gt;0,$D15*AW$20/RampWeightSum,0),$D15/($C15-$B15+1)),0)</f>
        <v>0</v>
      </c>
      <c r="AX15" s="22" t="n">
        <f aca="false">IF(AND(AX$5&gt;=$B15,AX$5&lt;=$C15,$C15&gt;=$B15),IF($E15="Ramp",IF(RampWeightSum&gt;0,$D15*AX$20/RampWeightSum,0),$D15/($C15-$B15+1)),0)</f>
        <v>0</v>
      </c>
      <c r="AY15" s="22" t="n">
        <f aca="false">IF(AND(AY$5&gt;=$B15,AY$5&lt;=$C15,$C15&gt;=$B15),IF($E15="Ramp",IF(RampWeightSum&gt;0,$D15*AY$20/RampWeightSum,0),$D15/($C15-$B15+1)),0)</f>
        <v>0</v>
      </c>
      <c r="AZ15" s="22" t="n">
        <f aca="false">IF(AND(AZ$5&gt;=$B15,AZ$5&lt;=$C15,$C15&gt;=$B15),IF($E15="Ramp",IF(RampWeightSum&gt;0,$D15*AZ$20/RampWeightSum,0),$D15/($C15-$B15+1)),0)</f>
        <v>0</v>
      </c>
      <c r="BA15" s="22" t="n">
        <f aca="false">IF(AND(BA$5&gt;=$B15,BA$5&lt;=$C15,$C15&gt;=$B15),IF($E15="Ramp",IF(RampWeightSum&gt;0,$D15*BA$20/RampWeightSum,0),$D15/($C15-$B15+1)),0)</f>
        <v>0</v>
      </c>
      <c r="BB15" s="22" t="n">
        <f aca="false">IF(AND(BB$5&gt;=$B15,BB$5&lt;=$C15,$C15&gt;=$B15),IF($E15="Ramp",IF(RampWeightSum&gt;0,$D15*BB$20/RampWeightSum,0),$D15/($C15-$B15+1)),0)</f>
        <v>0</v>
      </c>
      <c r="BC15" s="22" t="n">
        <f aca="false">IF(AND(BC$5&gt;=$B15,BC$5&lt;=$C15,$C15&gt;=$B15),IF($E15="Ramp",IF(RampWeightSum&gt;0,$D15*BC$20/RampWeightSum,0),$D15/($C15-$B15+1)),0)</f>
        <v>0</v>
      </c>
      <c r="BD15" s="22" t="n">
        <f aca="false">IF(AND(BD$5&gt;=$B15,BD$5&lt;=$C15,$C15&gt;=$B15),IF($E15="Ramp",IF(RampWeightSum&gt;0,$D15*BD$20/RampWeightSum,0),$D15/($C15-$B15+1)),0)</f>
        <v>0</v>
      </c>
      <c r="BE15" s="22" t="n">
        <f aca="false">IF(AND(BE$5&gt;=$B15,BE$5&lt;=$C15,$C15&gt;=$B15),IF($E15="Ramp",IF(RampWeightSum&gt;0,$D15*BE$20/RampWeightSum,0),$D15/($C15-$B15+1)),0)</f>
        <v>0</v>
      </c>
      <c r="BF15" s="22" t="n">
        <f aca="false">IF(AND(BF$5&gt;=$B15,BF$5&lt;=$C15,$C15&gt;=$B15),IF($E15="Ramp",IF(RampWeightSum&gt;0,$D15*BF$20/RampWeightSum,0),$D15/($C15-$B15+1)),0)</f>
        <v>0</v>
      </c>
      <c r="BG15" s="22" t="n">
        <f aca="false">IF(AND(BG$5&gt;=$B15,BG$5&lt;=$C15,$C15&gt;=$B15),IF($E15="Ramp",IF(RampWeightSum&gt;0,$D15*BG$20/RampWeightSum,0),$D15/($C15-$B15+1)),0)</f>
        <v>0</v>
      </c>
      <c r="BH15" s="22" t="n">
        <f aca="false">IF(AND(BH$5&gt;=$B15,BH$5&lt;=$C15,$C15&gt;=$B15),IF($E15="Ramp",IF(RampWeightSum&gt;0,$D15*BH$20/RampWeightSum,0),$D15/($C15-$B15+1)),0)</f>
        <v>0</v>
      </c>
      <c r="BI15" s="22" t="n">
        <f aca="false">IF(AND(BI$5&gt;=$B15,BI$5&lt;=$C15,$C15&gt;=$B15),IF($E15="Ramp",IF(RampWeightSum&gt;0,$D15*BI$20/RampWeightSum,0),$D15/($C15-$B15+1)),0)</f>
        <v>0</v>
      </c>
      <c r="BJ15" s="22" t="n">
        <f aca="false">IF(AND(BJ$5&gt;=$B15,BJ$5&lt;=$C15,$C15&gt;=$B15),IF($E15="Ramp",IF(RampWeightSum&gt;0,$D15*BJ$20/RampWeightSum,0),$D15/($C15-$B15+1)),0)</f>
        <v>0</v>
      </c>
      <c r="BK15" s="22" t="n">
        <f aca="false">IF(AND(BK$5&gt;=$B15,BK$5&lt;=$C15,$C15&gt;=$B15),IF($E15="Ramp",IF(RampWeightSum&gt;0,$D15*BK$20/RampWeightSum,0),$D15/($C15-$B15+1)),0)</f>
        <v>0</v>
      </c>
      <c r="BL15" s="22" t="n">
        <f aca="false">IF(AND(BL$5&gt;=$B15,BL$5&lt;=$C15,$C15&gt;=$B15),IF($E15="Ramp",IF(RampWeightSum&gt;0,$D15*BL$20/RampWeightSum,0),$D15/($C15-$B15+1)),0)</f>
        <v>0</v>
      </c>
      <c r="BM15" s="22" t="n">
        <f aca="false">IF(AND(BM$5&gt;=$B15,BM$5&lt;=$C15,$C15&gt;=$B15),IF($E15="Ramp",IF(RampWeightSum&gt;0,$D15*BM$20/RampWeightSum,0),$D15/($C15-$B15+1)),0)</f>
        <v>0</v>
      </c>
      <c r="BN15" s="22" t="n">
        <f aca="false">IF(AND(BN$5&gt;=$B15,BN$5&lt;=$C15,$C15&gt;=$B15),IF($E15="Ramp",IF(RampWeightSum&gt;0,$D15*BN$20/RampWeightSum,0),$D15/($C15-$B15+1)),0)</f>
        <v>0</v>
      </c>
      <c r="BO15" s="22" t="n">
        <f aca="false">IF(AND(BO$5&gt;=$B15,BO$5&lt;=$C15,$C15&gt;=$B15),IF($E15="Ramp",IF(RampWeightSum&gt;0,$D15*BO$20/RampWeightSum,0),$D15/($C15-$B15+1)),0)</f>
        <v>0</v>
      </c>
      <c r="BP15" s="22" t="n">
        <f aca="false">IF(AND(BP$5&gt;=$B15,BP$5&lt;=$C15,$C15&gt;=$B15),IF($E15="Ramp",IF(RampWeightSum&gt;0,$D15*BP$20/RampWeightSum,0),$D15/($C15-$B15+1)),0)</f>
        <v>0</v>
      </c>
      <c r="BQ15" s="22" t="n">
        <f aca="false">IF(AND(BQ$5&gt;=$B15,BQ$5&lt;=$C15,$C15&gt;=$B15),IF($E15="Ramp",IF(RampWeightSum&gt;0,$D15*BQ$20/RampWeightSum,0),$D15/($C15-$B15+1)),0)</f>
        <v>0</v>
      </c>
      <c r="BR15" s="22" t="n">
        <f aca="false">IF(AND(BR$5&gt;=$B15,BR$5&lt;=$C15,$C15&gt;=$B15),IF($E15="Ramp",IF(RampWeightSum&gt;0,$D15*BR$20/RampWeightSum,0),$D15/($C15-$B15+1)),0)</f>
        <v>0</v>
      </c>
      <c r="BS15" s="22" t="n">
        <f aca="false">IF(AND(BS$5&gt;=$B15,BS$5&lt;=$C15,$C15&gt;=$B15),IF($E15="Ramp",IF(RampWeightSum&gt;0,$D15*BS$20/RampWeightSum,0),$D15/($C15-$B15+1)),0)</f>
        <v>0</v>
      </c>
      <c r="BT15" s="22" t="n">
        <f aca="false">IF(AND(BT$5&gt;=$B15,BT$5&lt;=$C15,$C15&gt;=$B15),IF($E15="Ramp",IF(RampWeightSum&gt;0,$D15*BT$20/RampWeightSum,0),$D15/($C15-$B15+1)),0)</f>
        <v>0</v>
      </c>
      <c r="BU15" s="22" t="n">
        <f aca="false">IF(AND(BU$5&gt;=$B15,BU$5&lt;=$C15,$C15&gt;=$B15),IF($E15="Ramp",IF(RampWeightSum&gt;0,$D15*BU$20/RampWeightSum,0),$D15/($C15-$B15+1)),0)</f>
        <v>0</v>
      </c>
      <c r="BV15" s="22" t="n">
        <f aca="false">IF(AND(BV$5&gt;=$B15,BV$5&lt;=$C15,$C15&gt;=$B15),IF($E15="Ramp",IF(RampWeightSum&gt;0,$D15*BV$20/RampWeightSum,0),$D15/($C15-$B15+1)),0)</f>
        <v>0</v>
      </c>
      <c r="BW15" s="22" t="n">
        <f aca="false">IF(AND(BW$5&gt;=$B15,BW$5&lt;=$C15,$C15&gt;=$B15),IF($E15="Ramp",IF(RampWeightSum&gt;0,$D15*BW$20/RampWeightSum,0),$D15/($C15-$B15+1)),0)</f>
        <v>0</v>
      </c>
      <c r="BX15" s="22" t="n">
        <f aca="false">IF(AND(BX$5&gt;=$B15,BX$5&lt;=$C15,$C15&gt;=$B15),IF($E15="Ramp",IF(RampWeightSum&gt;0,$D15*BX$20/RampWeightSum,0),$D15/($C15-$B15+1)),0)</f>
        <v>0</v>
      </c>
      <c r="BY15" s="22" t="n">
        <f aca="false">IF(AND(BY$5&gt;=$B15,BY$5&lt;=$C15,$C15&gt;=$B15),IF($E15="Ramp",IF(RampWeightSum&gt;0,$D15*BY$20/RampWeightSum,0),$D15/($C15-$B15+1)),0)</f>
        <v>0</v>
      </c>
      <c r="BZ15" s="22" t="n">
        <f aca="false">IF(AND(BZ$5&gt;=$B15,BZ$5&lt;=$C15,$C15&gt;=$B15),IF($E15="Ramp",IF(RampWeightSum&gt;0,$D15*BZ$20/RampWeightSum,0),$D15/($C15-$B15+1)),0)</f>
        <v>0</v>
      </c>
      <c r="CA15" s="22" t="n">
        <f aca="false">IF(AND(CA$5&gt;=$B15,CA$5&lt;=$C15,$C15&gt;=$B15),IF($E15="Ramp",IF(RampWeightSum&gt;0,$D15*CA$20/RampWeightSum,0),$D15/($C15-$B15+1)),0)</f>
        <v>0</v>
      </c>
      <c r="CB15" s="22" t="n">
        <f aca="false">IF(AND(CB$5&gt;=$B15,CB$5&lt;=$C15,$C15&gt;=$B15),IF($E15="Ramp",IF(RampWeightSum&gt;0,$D15*CB$20/RampWeightSum,0),$D15/($C15-$B15+1)),0)</f>
        <v>0</v>
      </c>
      <c r="CC15" s="22" t="n">
        <f aca="false">IF(AND(CC$5&gt;=$B15,CC$5&lt;=$C15,$C15&gt;=$B15),IF($E15="Ramp",IF(RampWeightSum&gt;0,$D15*CC$20/RampWeightSum,0),$D15/($C15-$B15+1)),0)</f>
        <v>0</v>
      </c>
      <c r="CD15" s="22" t="n">
        <f aca="false">IF(AND(CD$5&gt;=$B15,CD$5&lt;=$C15,$C15&gt;=$B15),IF($E15="Ramp",IF(RampWeightSum&gt;0,$D15*CD$20/RampWeightSum,0),$D15/($C15-$B15+1)),0)</f>
        <v>0</v>
      </c>
      <c r="CE15" s="22" t="n">
        <f aca="false">IF(AND(CE$5&gt;=$B15,CE$5&lt;=$C15,$C15&gt;=$B15),IF($E15="Ramp",IF(RampWeightSum&gt;0,$D15*CE$20/RampWeightSum,0),$D15/($C15-$B15+1)),0)</f>
        <v>0</v>
      </c>
      <c r="CF15" s="22" t="n">
        <f aca="false">IF(AND(CF$5&gt;=$B15,CF$5&lt;=$C15,$C15&gt;=$B15),IF($E15="Ramp",IF(RampWeightSum&gt;0,$D15*CF$20/RampWeightSum,0),$D15/($C15-$B15+1)),0)</f>
        <v>0</v>
      </c>
      <c r="CG15" s="22" t="n">
        <f aca="false">IF(AND(CG$5&gt;=$B15,CG$5&lt;=$C15,$C15&gt;=$B15),IF($E15="Ramp",IF(RampWeightSum&gt;0,$D15*CG$20/RampWeightSum,0),$D15/($C15-$B15+1)),0)</f>
        <v>0</v>
      </c>
      <c r="CH15" s="22" t="n">
        <f aca="false">IF(AND(CH$5&gt;=$B15,CH$5&lt;=$C15,$C15&gt;=$B15),IF($E15="Ramp",IF(RampWeightSum&gt;0,$D15*CH$20/RampWeightSum,0),$D15/($C15-$B15+1)),0)</f>
        <v>0</v>
      </c>
      <c r="CI15" s="22" t="n">
        <f aca="false">IF(AND(CI$5&gt;=$B15,CI$5&lt;=$C15,$C15&gt;=$B15),IF($E15="Ramp",IF(RampWeightSum&gt;0,$D15*CI$20/RampWeightSum,0),$D15/($C15-$B15+1)),0)</f>
        <v>0</v>
      </c>
      <c r="CJ15" s="22" t="n">
        <f aca="false">IF(AND(CJ$5&gt;=$B15,CJ$5&lt;=$C15,$C15&gt;=$B15),IF($E15="Ramp",IF(RampWeightSum&gt;0,$D15*CJ$20/RampWeightSum,0),$D15/($C15-$B15+1)),0)</f>
        <v>0</v>
      </c>
      <c r="CK15" s="22" t="n">
        <f aca="false">IF(AND(CK$5&gt;=$B15,CK$5&lt;=$C15,$C15&gt;=$B15),IF($E15="Ramp",IF(RampWeightSum&gt;0,$D15*CK$20/RampWeightSum,0),$D15/($C15-$B15+1)),0)</f>
        <v>0</v>
      </c>
      <c r="CL15" s="22" t="n">
        <f aca="false">IF(AND(CL$5&gt;=$B15,CL$5&lt;=$C15,$C15&gt;=$B15),IF($E15="Ramp",IF(RampWeightSum&gt;0,$D15*CL$20/RampWeightSum,0),$D15/($C15-$B15+1)),0)</f>
        <v>0</v>
      </c>
      <c r="CM15" s="22" t="n">
        <f aca="false">IF(AND(CM$5&gt;=$B15,CM$5&lt;=$C15,$C15&gt;=$B15),IF($E15="Ramp",IF(RampWeightSum&gt;0,$D15*CM$20/RampWeightSum,0),$D15/($C15-$B15+1)),0)</f>
        <v>0</v>
      </c>
      <c r="CN15" s="22" t="n">
        <f aca="false">IF(AND(CN$5&gt;=$B15,CN$5&lt;=$C15,$C15&gt;=$B15),IF($E15="Ramp",IF(RampWeightSum&gt;0,$D15*CN$20/RampWeightSum,0),$D15/($C15-$B15+1)),0)</f>
        <v>0</v>
      </c>
      <c r="CO15" s="22" t="n">
        <f aca="false">IF(AND(CO$5&gt;=$B15,CO$5&lt;=$C15,$C15&gt;=$B15),IF($E15="Ramp",IF(RampWeightSum&gt;0,$D15*CO$20/RampWeightSum,0),$D15/($C15-$B15+1)),0)</f>
        <v>0</v>
      </c>
      <c r="CP15" s="22" t="n">
        <f aca="false">IF(AND(CP$5&gt;=$B15,CP$5&lt;=$C15,$C15&gt;=$B15),IF($E15="Ramp",IF(RampWeightSum&gt;0,$D15*CP$20/RampWeightSum,0),$D15/($C15-$B15+1)),0)</f>
        <v>0</v>
      </c>
      <c r="CQ15" s="22" t="n">
        <f aca="false">IF(AND(CQ$5&gt;=$B15,CQ$5&lt;=$C15,$C15&gt;=$B15),IF($E15="Ramp",IF(RampWeightSum&gt;0,$D15*CQ$20/RampWeightSum,0),$D15/($C15-$B15+1)),0)</f>
        <v>0</v>
      </c>
      <c r="CR15" s="22" t="n">
        <f aca="false">IF(AND(CR$5&gt;=$B15,CR$5&lt;=$C15,$C15&gt;=$B15),IF($E15="Ramp",IF(RampWeightSum&gt;0,$D15*CR$20/RampWeightSum,0),$D15/($C15-$B15+1)),0)</f>
        <v>0</v>
      </c>
      <c r="CS15" s="22" t="n">
        <f aca="false">IF(AND(CS$5&gt;=$B15,CS$5&lt;=$C15,$C15&gt;=$B15),IF($E15="Ramp",IF(RampWeightSum&gt;0,$D15*CS$20/RampWeightSum,0),$D15/($C15-$B15+1)),0)</f>
        <v>0</v>
      </c>
      <c r="CT15" s="22" t="n">
        <f aca="false">IF(AND(CT$5&gt;=$B15,CT$5&lt;=$C15,$C15&gt;=$B15),IF($E15="Ramp",IF(RampWeightSum&gt;0,$D15*CT$20/RampWeightSum,0),$D15/($C15-$B15+1)),0)</f>
        <v>0</v>
      </c>
      <c r="CU15" s="22" t="n">
        <f aca="false">IF(AND(CU$5&gt;=$B15,CU$5&lt;=$C15,$C15&gt;=$B15),IF($E15="Ramp",IF(RampWeightSum&gt;0,$D15*CU$20/RampWeightSum,0),$D15/($C15-$B15+1)),0)</f>
        <v>0</v>
      </c>
      <c r="CV15" s="22" t="n">
        <f aca="false">IF(AND(CV$5&gt;=$B15,CV$5&lt;=$C15,$C15&gt;=$B15),IF($E15="Ramp",IF(RampWeightSum&gt;0,$D15*CV$20/RampWeightSum,0),$D15/($C15-$B15+1)),0)</f>
        <v>0</v>
      </c>
      <c r="CW15" s="22" t="n">
        <f aca="false">IF(AND(CW$5&gt;=$B15,CW$5&lt;=$C15,$C15&gt;=$B15),IF($E15="Ramp",IF(RampWeightSum&gt;0,$D15*CW$20/RampWeightSum,0),$D15/($C15-$B15+1)),0)</f>
        <v>0</v>
      </c>
      <c r="CX15" s="22" t="n">
        <f aca="false">IF(AND(CX$5&gt;=$B15,CX$5&lt;=$C15,$C15&gt;=$B15),IF($E15="Ramp",IF(RampWeightSum&gt;0,$D15*CX$20/RampWeightSum,0),$D15/($C15-$B15+1)),0)</f>
        <v>0</v>
      </c>
      <c r="CY15" s="22" t="n">
        <f aca="false">IF(AND(CY$5&gt;=$B15,CY$5&lt;=$C15,$C15&gt;=$B15),IF($E15="Ramp",IF(RampWeightSum&gt;0,$D15*CY$20/RampWeightSum,0),$D15/($C15-$B15+1)),0)</f>
        <v>0</v>
      </c>
      <c r="CZ15" s="22" t="n">
        <f aca="false">IF(AND(CZ$5&gt;=$B15,CZ$5&lt;=$C15,$C15&gt;=$B15),IF($E15="Ramp",IF(RampWeightSum&gt;0,$D15*CZ$20/RampWeightSum,0),$D15/($C15-$B15+1)),0)</f>
        <v>0</v>
      </c>
      <c r="DA15" s="22" t="n">
        <f aca="false">IF(AND(DA$5&gt;=$B15,DA$5&lt;=$C15,$C15&gt;=$B15),IF($E15="Ramp",IF(RampWeightSum&gt;0,$D15*DA$20/RampWeightSum,0),$D15/($C15-$B15+1)),0)</f>
        <v>0</v>
      </c>
      <c r="DB15" s="22" t="n">
        <f aca="false">IF(AND(DB$5&gt;=$B15,DB$5&lt;=$C15,$C15&gt;=$B15),IF($E15="Ramp",IF(RampWeightSum&gt;0,$D15*DB$20/RampWeightSum,0),$D15/($C15-$B15+1)),0)</f>
        <v>0</v>
      </c>
      <c r="DC15" s="22" t="n">
        <f aca="false">IF(AND(DC$5&gt;=$B15,DC$5&lt;=$C15,$C15&gt;=$B15),IF($E15="Ramp",IF(RampWeightSum&gt;0,$D15*DC$20/RampWeightSum,0),$D15/($C15-$B15+1)),0)</f>
        <v>0</v>
      </c>
      <c r="DD15" s="22" t="n">
        <f aca="false">IF(AND(DD$5&gt;=$B15,DD$5&lt;=$C15,$C15&gt;=$B15),IF($E15="Ramp",IF(RampWeightSum&gt;0,$D15*DD$20/RampWeightSum,0),$D15/($C15-$B15+1)),0)</f>
        <v>0</v>
      </c>
      <c r="DE15" s="22" t="n">
        <f aca="false">IF(AND(DE$5&gt;=$B15,DE$5&lt;=$C15,$C15&gt;=$B15),IF($E15="Ramp",IF(RampWeightSum&gt;0,$D15*DE$20/RampWeightSum,0),$D15/($C15-$B15+1)),0)</f>
        <v>0</v>
      </c>
    </row>
    <row r="16" customFormat="false" ht="15" hidden="false" customHeight="false" outlineLevel="0" collapsed="false">
      <c r="A16" s="9" t="s">
        <v>90</v>
      </c>
      <c r="B16" s="29" t="n">
        <f aca="false">INDEX(PhStart,9)</f>
        <v>9</v>
      </c>
      <c r="C16" s="29" t="n">
        <f aca="false">INDEX(PhEnd,9)</f>
        <v>34</v>
      </c>
      <c r="D16" s="22" t="n">
        <f aca="false">INDEX(PhaseHours,9)</f>
        <v>351</v>
      </c>
      <c r="E16" s="9" t="str">
        <f aca="false">Schedule!E54</f>
        <v>Flat</v>
      </c>
      <c r="F16" s="22" t="n">
        <f aca="false">IF(AND(F$5&gt;=$B16,F$5&lt;=$C16,$C16&gt;=$B16),IF($E16="Ramp",IF(RampWeightSum&gt;0,$D16*F$20/RampWeightSum,0),$D16/($C16-$B16+1)),0)</f>
        <v>0</v>
      </c>
      <c r="G16" s="22" t="n">
        <f aca="false">IF(AND(G$5&gt;=$B16,G$5&lt;=$C16,$C16&gt;=$B16),IF($E16="Ramp",IF(RampWeightSum&gt;0,$D16*G$20/RampWeightSum,0),$D16/($C16-$B16+1)),0)</f>
        <v>0</v>
      </c>
      <c r="H16" s="22" t="n">
        <f aca="false">IF(AND(H$5&gt;=$B16,H$5&lt;=$C16,$C16&gt;=$B16),IF($E16="Ramp",IF(RampWeightSum&gt;0,$D16*H$20/RampWeightSum,0),$D16/($C16-$B16+1)),0)</f>
        <v>0</v>
      </c>
      <c r="I16" s="22" t="n">
        <f aca="false">IF(AND(I$5&gt;=$B16,I$5&lt;=$C16,$C16&gt;=$B16),IF($E16="Ramp",IF(RampWeightSum&gt;0,$D16*I$20/RampWeightSum,0),$D16/($C16-$B16+1)),0)</f>
        <v>0</v>
      </c>
      <c r="J16" s="22" t="n">
        <f aca="false">IF(AND(J$5&gt;=$B16,J$5&lt;=$C16,$C16&gt;=$B16),IF($E16="Ramp",IF(RampWeightSum&gt;0,$D16*J$20/RampWeightSum,0),$D16/($C16-$B16+1)),0)</f>
        <v>0</v>
      </c>
      <c r="K16" s="22" t="n">
        <f aca="false">IF(AND(K$5&gt;=$B16,K$5&lt;=$C16,$C16&gt;=$B16),IF($E16="Ramp",IF(RampWeightSum&gt;0,$D16*K$20/RampWeightSum,0),$D16/($C16-$B16+1)),0)</f>
        <v>0</v>
      </c>
      <c r="L16" s="22" t="n">
        <f aca="false">IF(AND(L$5&gt;=$B16,L$5&lt;=$C16,$C16&gt;=$B16),IF($E16="Ramp",IF(RampWeightSum&gt;0,$D16*L$20/RampWeightSum,0),$D16/($C16-$B16+1)),0)</f>
        <v>0</v>
      </c>
      <c r="M16" s="22" t="n">
        <f aca="false">IF(AND(M$5&gt;=$B16,M$5&lt;=$C16,$C16&gt;=$B16),IF($E16="Ramp",IF(RampWeightSum&gt;0,$D16*M$20/RampWeightSum,0),$D16/($C16-$B16+1)),0)</f>
        <v>0</v>
      </c>
      <c r="N16" s="22" t="n">
        <f aca="false">IF(AND(N$5&gt;=$B16,N$5&lt;=$C16,$C16&gt;=$B16),IF($E16="Ramp",IF(RampWeightSum&gt;0,$D16*N$20/RampWeightSum,0),$D16/($C16-$B16+1)),0)</f>
        <v>13.5</v>
      </c>
      <c r="O16" s="22" t="n">
        <f aca="false">IF(AND(O$5&gt;=$B16,O$5&lt;=$C16,$C16&gt;=$B16),IF($E16="Ramp",IF(RampWeightSum&gt;0,$D16*O$20/RampWeightSum,0),$D16/($C16-$B16+1)),0)</f>
        <v>13.5</v>
      </c>
      <c r="P16" s="22" t="n">
        <f aca="false">IF(AND(P$5&gt;=$B16,P$5&lt;=$C16,$C16&gt;=$B16),IF($E16="Ramp",IF(RampWeightSum&gt;0,$D16*P$20/RampWeightSum,0),$D16/($C16-$B16+1)),0)</f>
        <v>13.5</v>
      </c>
      <c r="Q16" s="22" t="n">
        <f aca="false">IF(AND(Q$5&gt;=$B16,Q$5&lt;=$C16,$C16&gt;=$B16),IF($E16="Ramp",IF(RampWeightSum&gt;0,$D16*Q$20/RampWeightSum,0),$D16/($C16-$B16+1)),0)</f>
        <v>13.5</v>
      </c>
      <c r="R16" s="22" t="n">
        <f aca="false">IF(AND(R$5&gt;=$B16,R$5&lt;=$C16,$C16&gt;=$B16),IF($E16="Ramp",IF(RampWeightSum&gt;0,$D16*R$20/RampWeightSum,0),$D16/($C16-$B16+1)),0)</f>
        <v>13.5</v>
      </c>
      <c r="S16" s="22" t="n">
        <f aca="false">IF(AND(S$5&gt;=$B16,S$5&lt;=$C16,$C16&gt;=$B16),IF($E16="Ramp",IF(RampWeightSum&gt;0,$D16*S$20/RampWeightSum,0),$D16/($C16-$B16+1)),0)</f>
        <v>13.5</v>
      </c>
      <c r="T16" s="22" t="n">
        <f aca="false">IF(AND(T$5&gt;=$B16,T$5&lt;=$C16,$C16&gt;=$B16),IF($E16="Ramp",IF(RampWeightSum&gt;0,$D16*T$20/RampWeightSum,0),$D16/($C16-$B16+1)),0)</f>
        <v>13.5</v>
      </c>
      <c r="U16" s="22" t="n">
        <f aca="false">IF(AND(U$5&gt;=$B16,U$5&lt;=$C16,$C16&gt;=$B16),IF($E16="Ramp",IF(RampWeightSum&gt;0,$D16*U$20/RampWeightSum,0),$D16/($C16-$B16+1)),0)</f>
        <v>13.5</v>
      </c>
      <c r="V16" s="22" t="n">
        <f aca="false">IF(AND(V$5&gt;=$B16,V$5&lt;=$C16,$C16&gt;=$B16),IF($E16="Ramp",IF(RampWeightSum&gt;0,$D16*V$20/RampWeightSum,0),$D16/($C16-$B16+1)),0)</f>
        <v>13.5</v>
      </c>
      <c r="W16" s="22" t="n">
        <f aca="false">IF(AND(W$5&gt;=$B16,W$5&lt;=$C16,$C16&gt;=$B16),IF($E16="Ramp",IF(RampWeightSum&gt;0,$D16*W$20/RampWeightSum,0),$D16/($C16-$B16+1)),0)</f>
        <v>13.5</v>
      </c>
      <c r="X16" s="22" t="n">
        <f aca="false">IF(AND(X$5&gt;=$B16,X$5&lt;=$C16,$C16&gt;=$B16),IF($E16="Ramp",IF(RampWeightSum&gt;0,$D16*X$20/RampWeightSum,0),$D16/($C16-$B16+1)),0)</f>
        <v>13.5</v>
      </c>
      <c r="Y16" s="22" t="n">
        <f aca="false">IF(AND(Y$5&gt;=$B16,Y$5&lt;=$C16,$C16&gt;=$B16),IF($E16="Ramp",IF(RampWeightSum&gt;0,$D16*Y$20/RampWeightSum,0),$D16/($C16-$B16+1)),0)</f>
        <v>13.5</v>
      </c>
      <c r="Z16" s="22" t="n">
        <f aca="false">IF(AND(Z$5&gt;=$B16,Z$5&lt;=$C16,$C16&gt;=$B16),IF($E16="Ramp",IF(RampWeightSum&gt;0,$D16*Z$20/RampWeightSum,0),$D16/($C16-$B16+1)),0)</f>
        <v>13.5</v>
      </c>
      <c r="AA16" s="22" t="n">
        <f aca="false">IF(AND(AA$5&gt;=$B16,AA$5&lt;=$C16,$C16&gt;=$B16),IF($E16="Ramp",IF(RampWeightSum&gt;0,$D16*AA$20/RampWeightSum,0),$D16/($C16-$B16+1)),0)</f>
        <v>13.5</v>
      </c>
      <c r="AB16" s="22" t="n">
        <f aca="false">IF(AND(AB$5&gt;=$B16,AB$5&lt;=$C16,$C16&gt;=$B16),IF($E16="Ramp",IF(RampWeightSum&gt;0,$D16*AB$20/RampWeightSum,0),$D16/($C16-$B16+1)),0)</f>
        <v>13.5</v>
      </c>
      <c r="AC16" s="22" t="n">
        <f aca="false">IF(AND(AC$5&gt;=$B16,AC$5&lt;=$C16,$C16&gt;=$B16),IF($E16="Ramp",IF(RampWeightSum&gt;0,$D16*AC$20/RampWeightSum,0),$D16/($C16-$B16+1)),0)</f>
        <v>13.5</v>
      </c>
      <c r="AD16" s="22" t="n">
        <f aca="false">IF(AND(AD$5&gt;=$B16,AD$5&lt;=$C16,$C16&gt;=$B16),IF($E16="Ramp",IF(RampWeightSum&gt;0,$D16*AD$20/RampWeightSum,0),$D16/($C16-$B16+1)),0)</f>
        <v>13.5</v>
      </c>
      <c r="AE16" s="22" t="n">
        <f aca="false">IF(AND(AE$5&gt;=$B16,AE$5&lt;=$C16,$C16&gt;=$B16),IF($E16="Ramp",IF(RampWeightSum&gt;0,$D16*AE$20/RampWeightSum,0),$D16/($C16-$B16+1)),0)</f>
        <v>13.5</v>
      </c>
      <c r="AF16" s="22" t="n">
        <f aca="false">IF(AND(AF$5&gt;=$B16,AF$5&lt;=$C16,$C16&gt;=$B16),IF($E16="Ramp",IF(RampWeightSum&gt;0,$D16*AF$20/RampWeightSum,0),$D16/($C16-$B16+1)),0)</f>
        <v>13.5</v>
      </c>
      <c r="AG16" s="22" t="n">
        <f aca="false">IF(AND(AG$5&gt;=$B16,AG$5&lt;=$C16,$C16&gt;=$B16),IF($E16="Ramp",IF(RampWeightSum&gt;0,$D16*AG$20/RampWeightSum,0),$D16/($C16-$B16+1)),0)</f>
        <v>13.5</v>
      </c>
      <c r="AH16" s="22" t="n">
        <f aca="false">IF(AND(AH$5&gt;=$B16,AH$5&lt;=$C16,$C16&gt;=$B16),IF($E16="Ramp",IF(RampWeightSum&gt;0,$D16*AH$20/RampWeightSum,0),$D16/($C16-$B16+1)),0)</f>
        <v>13.5</v>
      </c>
      <c r="AI16" s="22" t="n">
        <f aca="false">IF(AND(AI$5&gt;=$B16,AI$5&lt;=$C16,$C16&gt;=$B16),IF($E16="Ramp",IF(RampWeightSum&gt;0,$D16*AI$20/RampWeightSum,0),$D16/($C16-$B16+1)),0)</f>
        <v>13.5</v>
      </c>
      <c r="AJ16" s="22" t="n">
        <f aca="false">IF(AND(AJ$5&gt;=$B16,AJ$5&lt;=$C16,$C16&gt;=$B16),IF($E16="Ramp",IF(RampWeightSum&gt;0,$D16*AJ$20/RampWeightSum,0),$D16/($C16-$B16+1)),0)</f>
        <v>13.5</v>
      </c>
      <c r="AK16" s="22" t="n">
        <f aca="false">IF(AND(AK$5&gt;=$B16,AK$5&lt;=$C16,$C16&gt;=$B16),IF($E16="Ramp",IF(RampWeightSum&gt;0,$D16*AK$20/RampWeightSum,0),$D16/($C16-$B16+1)),0)</f>
        <v>13.5</v>
      </c>
      <c r="AL16" s="22" t="n">
        <f aca="false">IF(AND(AL$5&gt;=$B16,AL$5&lt;=$C16,$C16&gt;=$B16),IF($E16="Ramp",IF(RampWeightSum&gt;0,$D16*AL$20/RampWeightSum,0),$D16/($C16-$B16+1)),0)</f>
        <v>13.5</v>
      </c>
      <c r="AM16" s="22" t="n">
        <f aca="false">IF(AND(AM$5&gt;=$B16,AM$5&lt;=$C16,$C16&gt;=$B16),IF($E16="Ramp",IF(RampWeightSum&gt;0,$D16*AM$20/RampWeightSum,0),$D16/($C16-$B16+1)),0)</f>
        <v>13.5</v>
      </c>
      <c r="AN16" s="22" t="n">
        <f aca="false">IF(AND(AN$5&gt;=$B16,AN$5&lt;=$C16,$C16&gt;=$B16),IF($E16="Ramp",IF(RampWeightSum&gt;0,$D16*AN$20/RampWeightSum,0),$D16/($C16-$B16+1)),0)</f>
        <v>0</v>
      </c>
      <c r="AO16" s="22" t="n">
        <f aca="false">IF(AND(AO$5&gt;=$B16,AO$5&lt;=$C16,$C16&gt;=$B16),IF($E16="Ramp",IF(RampWeightSum&gt;0,$D16*AO$20/RampWeightSum,0),$D16/($C16-$B16+1)),0)</f>
        <v>0</v>
      </c>
      <c r="AP16" s="22" t="n">
        <f aca="false">IF(AND(AP$5&gt;=$B16,AP$5&lt;=$C16,$C16&gt;=$B16),IF($E16="Ramp",IF(RampWeightSum&gt;0,$D16*AP$20/RampWeightSum,0),$D16/($C16-$B16+1)),0)</f>
        <v>0</v>
      </c>
      <c r="AQ16" s="22" t="n">
        <f aca="false">IF(AND(AQ$5&gt;=$B16,AQ$5&lt;=$C16,$C16&gt;=$B16),IF($E16="Ramp",IF(RampWeightSum&gt;0,$D16*AQ$20/RampWeightSum,0),$D16/($C16-$B16+1)),0)</f>
        <v>0</v>
      </c>
      <c r="AR16" s="22" t="n">
        <f aca="false">IF(AND(AR$5&gt;=$B16,AR$5&lt;=$C16,$C16&gt;=$B16),IF($E16="Ramp",IF(RampWeightSum&gt;0,$D16*AR$20/RampWeightSum,0),$D16/($C16-$B16+1)),0)</f>
        <v>0</v>
      </c>
      <c r="AS16" s="22" t="n">
        <f aca="false">IF(AND(AS$5&gt;=$B16,AS$5&lt;=$C16,$C16&gt;=$B16),IF($E16="Ramp",IF(RampWeightSum&gt;0,$D16*AS$20/RampWeightSum,0),$D16/($C16-$B16+1)),0)</f>
        <v>0</v>
      </c>
      <c r="AT16" s="22" t="n">
        <f aca="false">IF(AND(AT$5&gt;=$B16,AT$5&lt;=$C16,$C16&gt;=$B16),IF($E16="Ramp",IF(RampWeightSum&gt;0,$D16*AT$20/RampWeightSum,0),$D16/($C16-$B16+1)),0)</f>
        <v>0</v>
      </c>
      <c r="AU16" s="22" t="n">
        <f aca="false">IF(AND(AU$5&gt;=$B16,AU$5&lt;=$C16,$C16&gt;=$B16),IF($E16="Ramp",IF(RampWeightSum&gt;0,$D16*AU$20/RampWeightSum,0),$D16/($C16-$B16+1)),0)</f>
        <v>0</v>
      </c>
      <c r="AV16" s="22" t="n">
        <f aca="false">IF(AND(AV$5&gt;=$B16,AV$5&lt;=$C16,$C16&gt;=$B16),IF($E16="Ramp",IF(RampWeightSum&gt;0,$D16*AV$20/RampWeightSum,0),$D16/($C16-$B16+1)),0)</f>
        <v>0</v>
      </c>
      <c r="AW16" s="22" t="n">
        <f aca="false">IF(AND(AW$5&gt;=$B16,AW$5&lt;=$C16,$C16&gt;=$B16),IF($E16="Ramp",IF(RampWeightSum&gt;0,$D16*AW$20/RampWeightSum,0),$D16/($C16-$B16+1)),0)</f>
        <v>0</v>
      </c>
      <c r="AX16" s="22" t="n">
        <f aca="false">IF(AND(AX$5&gt;=$B16,AX$5&lt;=$C16,$C16&gt;=$B16),IF($E16="Ramp",IF(RampWeightSum&gt;0,$D16*AX$20/RampWeightSum,0),$D16/($C16-$B16+1)),0)</f>
        <v>0</v>
      </c>
      <c r="AY16" s="22" t="n">
        <f aca="false">IF(AND(AY$5&gt;=$B16,AY$5&lt;=$C16,$C16&gt;=$B16),IF($E16="Ramp",IF(RampWeightSum&gt;0,$D16*AY$20/RampWeightSum,0),$D16/($C16-$B16+1)),0)</f>
        <v>0</v>
      </c>
      <c r="AZ16" s="22" t="n">
        <f aca="false">IF(AND(AZ$5&gt;=$B16,AZ$5&lt;=$C16,$C16&gt;=$B16),IF($E16="Ramp",IF(RampWeightSum&gt;0,$D16*AZ$20/RampWeightSum,0),$D16/($C16-$B16+1)),0)</f>
        <v>0</v>
      </c>
      <c r="BA16" s="22" t="n">
        <f aca="false">IF(AND(BA$5&gt;=$B16,BA$5&lt;=$C16,$C16&gt;=$B16),IF($E16="Ramp",IF(RampWeightSum&gt;0,$D16*BA$20/RampWeightSum,0),$D16/($C16-$B16+1)),0)</f>
        <v>0</v>
      </c>
      <c r="BB16" s="22" t="n">
        <f aca="false">IF(AND(BB$5&gt;=$B16,BB$5&lt;=$C16,$C16&gt;=$B16),IF($E16="Ramp",IF(RampWeightSum&gt;0,$D16*BB$20/RampWeightSum,0),$D16/($C16-$B16+1)),0)</f>
        <v>0</v>
      </c>
      <c r="BC16" s="22" t="n">
        <f aca="false">IF(AND(BC$5&gt;=$B16,BC$5&lt;=$C16,$C16&gt;=$B16),IF($E16="Ramp",IF(RampWeightSum&gt;0,$D16*BC$20/RampWeightSum,0),$D16/($C16-$B16+1)),0)</f>
        <v>0</v>
      </c>
      <c r="BD16" s="22" t="n">
        <f aca="false">IF(AND(BD$5&gt;=$B16,BD$5&lt;=$C16,$C16&gt;=$B16),IF($E16="Ramp",IF(RampWeightSum&gt;0,$D16*BD$20/RampWeightSum,0),$D16/($C16-$B16+1)),0)</f>
        <v>0</v>
      </c>
      <c r="BE16" s="22" t="n">
        <f aca="false">IF(AND(BE$5&gt;=$B16,BE$5&lt;=$C16,$C16&gt;=$B16),IF($E16="Ramp",IF(RampWeightSum&gt;0,$D16*BE$20/RampWeightSum,0),$D16/($C16-$B16+1)),0)</f>
        <v>0</v>
      </c>
      <c r="BF16" s="22" t="n">
        <f aca="false">IF(AND(BF$5&gt;=$B16,BF$5&lt;=$C16,$C16&gt;=$B16),IF($E16="Ramp",IF(RampWeightSum&gt;0,$D16*BF$20/RampWeightSum,0),$D16/($C16-$B16+1)),0)</f>
        <v>0</v>
      </c>
      <c r="BG16" s="22" t="n">
        <f aca="false">IF(AND(BG$5&gt;=$B16,BG$5&lt;=$C16,$C16&gt;=$B16),IF($E16="Ramp",IF(RampWeightSum&gt;0,$D16*BG$20/RampWeightSum,0),$D16/($C16-$B16+1)),0)</f>
        <v>0</v>
      </c>
      <c r="BH16" s="22" t="n">
        <f aca="false">IF(AND(BH$5&gt;=$B16,BH$5&lt;=$C16,$C16&gt;=$B16),IF($E16="Ramp",IF(RampWeightSum&gt;0,$D16*BH$20/RampWeightSum,0),$D16/($C16-$B16+1)),0)</f>
        <v>0</v>
      </c>
      <c r="BI16" s="22" t="n">
        <f aca="false">IF(AND(BI$5&gt;=$B16,BI$5&lt;=$C16,$C16&gt;=$B16),IF($E16="Ramp",IF(RampWeightSum&gt;0,$D16*BI$20/RampWeightSum,0),$D16/($C16-$B16+1)),0)</f>
        <v>0</v>
      </c>
      <c r="BJ16" s="22" t="n">
        <f aca="false">IF(AND(BJ$5&gt;=$B16,BJ$5&lt;=$C16,$C16&gt;=$B16),IF($E16="Ramp",IF(RampWeightSum&gt;0,$D16*BJ$20/RampWeightSum,0),$D16/($C16-$B16+1)),0)</f>
        <v>0</v>
      </c>
      <c r="BK16" s="22" t="n">
        <f aca="false">IF(AND(BK$5&gt;=$B16,BK$5&lt;=$C16,$C16&gt;=$B16),IF($E16="Ramp",IF(RampWeightSum&gt;0,$D16*BK$20/RampWeightSum,0),$D16/($C16-$B16+1)),0)</f>
        <v>0</v>
      </c>
      <c r="BL16" s="22" t="n">
        <f aca="false">IF(AND(BL$5&gt;=$B16,BL$5&lt;=$C16,$C16&gt;=$B16),IF($E16="Ramp",IF(RampWeightSum&gt;0,$D16*BL$20/RampWeightSum,0),$D16/($C16-$B16+1)),0)</f>
        <v>0</v>
      </c>
      <c r="BM16" s="22" t="n">
        <f aca="false">IF(AND(BM$5&gt;=$B16,BM$5&lt;=$C16,$C16&gt;=$B16),IF($E16="Ramp",IF(RampWeightSum&gt;0,$D16*BM$20/RampWeightSum,0),$D16/($C16-$B16+1)),0)</f>
        <v>0</v>
      </c>
      <c r="BN16" s="22" t="n">
        <f aca="false">IF(AND(BN$5&gt;=$B16,BN$5&lt;=$C16,$C16&gt;=$B16),IF($E16="Ramp",IF(RampWeightSum&gt;0,$D16*BN$20/RampWeightSum,0),$D16/($C16-$B16+1)),0)</f>
        <v>0</v>
      </c>
      <c r="BO16" s="22" t="n">
        <f aca="false">IF(AND(BO$5&gt;=$B16,BO$5&lt;=$C16,$C16&gt;=$B16),IF($E16="Ramp",IF(RampWeightSum&gt;0,$D16*BO$20/RampWeightSum,0),$D16/($C16-$B16+1)),0)</f>
        <v>0</v>
      </c>
      <c r="BP16" s="22" t="n">
        <f aca="false">IF(AND(BP$5&gt;=$B16,BP$5&lt;=$C16,$C16&gt;=$B16),IF($E16="Ramp",IF(RampWeightSum&gt;0,$D16*BP$20/RampWeightSum,0),$D16/($C16-$B16+1)),0)</f>
        <v>0</v>
      </c>
      <c r="BQ16" s="22" t="n">
        <f aca="false">IF(AND(BQ$5&gt;=$B16,BQ$5&lt;=$C16,$C16&gt;=$B16),IF($E16="Ramp",IF(RampWeightSum&gt;0,$D16*BQ$20/RampWeightSum,0),$D16/($C16-$B16+1)),0)</f>
        <v>0</v>
      </c>
      <c r="BR16" s="22" t="n">
        <f aca="false">IF(AND(BR$5&gt;=$B16,BR$5&lt;=$C16,$C16&gt;=$B16),IF($E16="Ramp",IF(RampWeightSum&gt;0,$D16*BR$20/RampWeightSum,0),$D16/($C16-$B16+1)),0)</f>
        <v>0</v>
      </c>
      <c r="BS16" s="22" t="n">
        <f aca="false">IF(AND(BS$5&gt;=$B16,BS$5&lt;=$C16,$C16&gt;=$B16),IF($E16="Ramp",IF(RampWeightSum&gt;0,$D16*BS$20/RampWeightSum,0),$D16/($C16-$B16+1)),0)</f>
        <v>0</v>
      </c>
      <c r="BT16" s="22" t="n">
        <f aca="false">IF(AND(BT$5&gt;=$B16,BT$5&lt;=$C16,$C16&gt;=$B16),IF($E16="Ramp",IF(RampWeightSum&gt;0,$D16*BT$20/RampWeightSum,0),$D16/($C16-$B16+1)),0)</f>
        <v>0</v>
      </c>
      <c r="BU16" s="22" t="n">
        <f aca="false">IF(AND(BU$5&gt;=$B16,BU$5&lt;=$C16,$C16&gt;=$B16),IF($E16="Ramp",IF(RampWeightSum&gt;0,$D16*BU$20/RampWeightSum,0),$D16/($C16-$B16+1)),0)</f>
        <v>0</v>
      </c>
      <c r="BV16" s="22" t="n">
        <f aca="false">IF(AND(BV$5&gt;=$B16,BV$5&lt;=$C16,$C16&gt;=$B16),IF($E16="Ramp",IF(RampWeightSum&gt;0,$D16*BV$20/RampWeightSum,0),$D16/($C16-$B16+1)),0)</f>
        <v>0</v>
      </c>
      <c r="BW16" s="22" t="n">
        <f aca="false">IF(AND(BW$5&gt;=$B16,BW$5&lt;=$C16,$C16&gt;=$B16),IF($E16="Ramp",IF(RampWeightSum&gt;0,$D16*BW$20/RampWeightSum,0),$D16/($C16-$B16+1)),0)</f>
        <v>0</v>
      </c>
      <c r="BX16" s="22" t="n">
        <f aca="false">IF(AND(BX$5&gt;=$B16,BX$5&lt;=$C16,$C16&gt;=$B16),IF($E16="Ramp",IF(RampWeightSum&gt;0,$D16*BX$20/RampWeightSum,0),$D16/($C16-$B16+1)),0)</f>
        <v>0</v>
      </c>
      <c r="BY16" s="22" t="n">
        <f aca="false">IF(AND(BY$5&gt;=$B16,BY$5&lt;=$C16,$C16&gt;=$B16),IF($E16="Ramp",IF(RampWeightSum&gt;0,$D16*BY$20/RampWeightSum,0),$D16/($C16-$B16+1)),0)</f>
        <v>0</v>
      </c>
      <c r="BZ16" s="22" t="n">
        <f aca="false">IF(AND(BZ$5&gt;=$B16,BZ$5&lt;=$C16,$C16&gt;=$B16),IF($E16="Ramp",IF(RampWeightSum&gt;0,$D16*BZ$20/RampWeightSum,0),$D16/($C16-$B16+1)),0)</f>
        <v>0</v>
      </c>
      <c r="CA16" s="22" t="n">
        <f aca="false">IF(AND(CA$5&gt;=$B16,CA$5&lt;=$C16,$C16&gt;=$B16),IF($E16="Ramp",IF(RampWeightSum&gt;0,$D16*CA$20/RampWeightSum,0),$D16/($C16-$B16+1)),0)</f>
        <v>0</v>
      </c>
      <c r="CB16" s="22" t="n">
        <f aca="false">IF(AND(CB$5&gt;=$B16,CB$5&lt;=$C16,$C16&gt;=$B16),IF($E16="Ramp",IF(RampWeightSum&gt;0,$D16*CB$20/RampWeightSum,0),$D16/($C16-$B16+1)),0)</f>
        <v>0</v>
      </c>
      <c r="CC16" s="22" t="n">
        <f aca="false">IF(AND(CC$5&gt;=$B16,CC$5&lt;=$C16,$C16&gt;=$B16),IF($E16="Ramp",IF(RampWeightSum&gt;0,$D16*CC$20/RampWeightSum,0),$D16/($C16-$B16+1)),0)</f>
        <v>0</v>
      </c>
      <c r="CD16" s="22" t="n">
        <f aca="false">IF(AND(CD$5&gt;=$B16,CD$5&lt;=$C16,$C16&gt;=$B16),IF($E16="Ramp",IF(RampWeightSum&gt;0,$D16*CD$20/RampWeightSum,0),$D16/($C16-$B16+1)),0)</f>
        <v>0</v>
      </c>
      <c r="CE16" s="22" t="n">
        <f aca="false">IF(AND(CE$5&gt;=$B16,CE$5&lt;=$C16,$C16&gt;=$B16),IF($E16="Ramp",IF(RampWeightSum&gt;0,$D16*CE$20/RampWeightSum,0),$D16/($C16-$B16+1)),0)</f>
        <v>0</v>
      </c>
      <c r="CF16" s="22" t="n">
        <f aca="false">IF(AND(CF$5&gt;=$B16,CF$5&lt;=$C16,$C16&gt;=$B16),IF($E16="Ramp",IF(RampWeightSum&gt;0,$D16*CF$20/RampWeightSum,0),$D16/($C16-$B16+1)),0)</f>
        <v>0</v>
      </c>
      <c r="CG16" s="22" t="n">
        <f aca="false">IF(AND(CG$5&gt;=$B16,CG$5&lt;=$C16,$C16&gt;=$B16),IF($E16="Ramp",IF(RampWeightSum&gt;0,$D16*CG$20/RampWeightSum,0),$D16/($C16-$B16+1)),0)</f>
        <v>0</v>
      </c>
      <c r="CH16" s="22" t="n">
        <f aca="false">IF(AND(CH$5&gt;=$B16,CH$5&lt;=$C16,$C16&gt;=$B16),IF($E16="Ramp",IF(RampWeightSum&gt;0,$D16*CH$20/RampWeightSum,0),$D16/($C16-$B16+1)),0)</f>
        <v>0</v>
      </c>
      <c r="CI16" s="22" t="n">
        <f aca="false">IF(AND(CI$5&gt;=$B16,CI$5&lt;=$C16,$C16&gt;=$B16),IF($E16="Ramp",IF(RampWeightSum&gt;0,$D16*CI$20/RampWeightSum,0),$D16/($C16-$B16+1)),0)</f>
        <v>0</v>
      </c>
      <c r="CJ16" s="22" t="n">
        <f aca="false">IF(AND(CJ$5&gt;=$B16,CJ$5&lt;=$C16,$C16&gt;=$B16),IF($E16="Ramp",IF(RampWeightSum&gt;0,$D16*CJ$20/RampWeightSum,0),$D16/($C16-$B16+1)),0)</f>
        <v>0</v>
      </c>
      <c r="CK16" s="22" t="n">
        <f aca="false">IF(AND(CK$5&gt;=$B16,CK$5&lt;=$C16,$C16&gt;=$B16),IF($E16="Ramp",IF(RampWeightSum&gt;0,$D16*CK$20/RampWeightSum,0),$D16/($C16-$B16+1)),0)</f>
        <v>0</v>
      </c>
      <c r="CL16" s="22" t="n">
        <f aca="false">IF(AND(CL$5&gt;=$B16,CL$5&lt;=$C16,$C16&gt;=$B16),IF($E16="Ramp",IF(RampWeightSum&gt;0,$D16*CL$20/RampWeightSum,0),$D16/($C16-$B16+1)),0)</f>
        <v>0</v>
      </c>
      <c r="CM16" s="22" t="n">
        <f aca="false">IF(AND(CM$5&gt;=$B16,CM$5&lt;=$C16,$C16&gt;=$B16),IF($E16="Ramp",IF(RampWeightSum&gt;0,$D16*CM$20/RampWeightSum,0),$D16/($C16-$B16+1)),0)</f>
        <v>0</v>
      </c>
      <c r="CN16" s="22" t="n">
        <f aca="false">IF(AND(CN$5&gt;=$B16,CN$5&lt;=$C16,$C16&gt;=$B16),IF($E16="Ramp",IF(RampWeightSum&gt;0,$D16*CN$20/RampWeightSum,0),$D16/($C16-$B16+1)),0)</f>
        <v>0</v>
      </c>
      <c r="CO16" s="22" t="n">
        <f aca="false">IF(AND(CO$5&gt;=$B16,CO$5&lt;=$C16,$C16&gt;=$B16),IF($E16="Ramp",IF(RampWeightSum&gt;0,$D16*CO$20/RampWeightSum,0),$D16/($C16-$B16+1)),0)</f>
        <v>0</v>
      </c>
      <c r="CP16" s="22" t="n">
        <f aca="false">IF(AND(CP$5&gt;=$B16,CP$5&lt;=$C16,$C16&gt;=$B16),IF($E16="Ramp",IF(RampWeightSum&gt;0,$D16*CP$20/RampWeightSum,0),$D16/($C16-$B16+1)),0)</f>
        <v>0</v>
      </c>
      <c r="CQ16" s="22" t="n">
        <f aca="false">IF(AND(CQ$5&gt;=$B16,CQ$5&lt;=$C16,$C16&gt;=$B16),IF($E16="Ramp",IF(RampWeightSum&gt;0,$D16*CQ$20/RampWeightSum,0),$D16/($C16-$B16+1)),0)</f>
        <v>0</v>
      </c>
      <c r="CR16" s="22" t="n">
        <f aca="false">IF(AND(CR$5&gt;=$B16,CR$5&lt;=$C16,$C16&gt;=$B16),IF($E16="Ramp",IF(RampWeightSum&gt;0,$D16*CR$20/RampWeightSum,0),$D16/($C16-$B16+1)),0)</f>
        <v>0</v>
      </c>
      <c r="CS16" s="22" t="n">
        <f aca="false">IF(AND(CS$5&gt;=$B16,CS$5&lt;=$C16,$C16&gt;=$B16),IF($E16="Ramp",IF(RampWeightSum&gt;0,$D16*CS$20/RampWeightSum,0),$D16/($C16-$B16+1)),0)</f>
        <v>0</v>
      </c>
      <c r="CT16" s="22" t="n">
        <f aca="false">IF(AND(CT$5&gt;=$B16,CT$5&lt;=$C16,$C16&gt;=$B16),IF($E16="Ramp",IF(RampWeightSum&gt;0,$D16*CT$20/RampWeightSum,0),$D16/($C16-$B16+1)),0)</f>
        <v>0</v>
      </c>
      <c r="CU16" s="22" t="n">
        <f aca="false">IF(AND(CU$5&gt;=$B16,CU$5&lt;=$C16,$C16&gt;=$B16),IF($E16="Ramp",IF(RampWeightSum&gt;0,$D16*CU$20/RampWeightSum,0),$D16/($C16-$B16+1)),0)</f>
        <v>0</v>
      </c>
      <c r="CV16" s="22" t="n">
        <f aca="false">IF(AND(CV$5&gt;=$B16,CV$5&lt;=$C16,$C16&gt;=$B16),IF($E16="Ramp",IF(RampWeightSum&gt;0,$D16*CV$20/RampWeightSum,0),$D16/($C16-$B16+1)),0)</f>
        <v>0</v>
      </c>
      <c r="CW16" s="22" t="n">
        <f aca="false">IF(AND(CW$5&gt;=$B16,CW$5&lt;=$C16,$C16&gt;=$B16),IF($E16="Ramp",IF(RampWeightSum&gt;0,$D16*CW$20/RampWeightSum,0),$D16/($C16-$B16+1)),0)</f>
        <v>0</v>
      </c>
      <c r="CX16" s="22" t="n">
        <f aca="false">IF(AND(CX$5&gt;=$B16,CX$5&lt;=$C16,$C16&gt;=$B16),IF($E16="Ramp",IF(RampWeightSum&gt;0,$D16*CX$20/RampWeightSum,0),$D16/($C16-$B16+1)),0)</f>
        <v>0</v>
      </c>
      <c r="CY16" s="22" t="n">
        <f aca="false">IF(AND(CY$5&gt;=$B16,CY$5&lt;=$C16,$C16&gt;=$B16),IF($E16="Ramp",IF(RampWeightSum&gt;0,$D16*CY$20/RampWeightSum,0),$D16/($C16-$B16+1)),0)</f>
        <v>0</v>
      </c>
      <c r="CZ16" s="22" t="n">
        <f aca="false">IF(AND(CZ$5&gt;=$B16,CZ$5&lt;=$C16,$C16&gt;=$B16),IF($E16="Ramp",IF(RampWeightSum&gt;0,$D16*CZ$20/RampWeightSum,0),$D16/($C16-$B16+1)),0)</f>
        <v>0</v>
      </c>
      <c r="DA16" s="22" t="n">
        <f aca="false">IF(AND(DA$5&gt;=$B16,DA$5&lt;=$C16,$C16&gt;=$B16),IF($E16="Ramp",IF(RampWeightSum&gt;0,$D16*DA$20/RampWeightSum,0),$D16/($C16-$B16+1)),0)</f>
        <v>0</v>
      </c>
      <c r="DB16" s="22" t="n">
        <f aca="false">IF(AND(DB$5&gt;=$B16,DB$5&lt;=$C16,$C16&gt;=$B16),IF($E16="Ramp",IF(RampWeightSum&gt;0,$D16*DB$20/RampWeightSum,0),$D16/($C16-$B16+1)),0)</f>
        <v>0</v>
      </c>
      <c r="DC16" s="22" t="n">
        <f aca="false">IF(AND(DC$5&gt;=$B16,DC$5&lt;=$C16,$C16&gt;=$B16),IF($E16="Ramp",IF(RampWeightSum&gt;0,$D16*DC$20/RampWeightSum,0),$D16/($C16-$B16+1)),0)</f>
        <v>0</v>
      </c>
      <c r="DD16" s="22" t="n">
        <f aca="false">IF(AND(DD$5&gt;=$B16,DD$5&lt;=$C16,$C16&gt;=$B16),IF($E16="Ramp",IF(RampWeightSum&gt;0,$D16*DD$20/RampWeightSum,0),$D16/($C16-$B16+1)),0)</f>
        <v>0</v>
      </c>
      <c r="DE16" s="22" t="n">
        <f aca="false">IF(AND(DE$5&gt;=$B16,DE$5&lt;=$C16,$C16&gt;=$B16),IF($E16="Ramp",IF(RampWeightSum&gt;0,$D16*DE$20/RampWeightSum,0),$D16/($C16-$B16+1)),0)</f>
        <v>0</v>
      </c>
    </row>
    <row r="17" customFormat="false" ht="15" hidden="false" customHeight="false" outlineLevel="0" collapsed="false">
      <c r="A17" s="9" t="s">
        <v>92</v>
      </c>
      <c r="B17" s="29" t="n">
        <f aca="false">INDEX(PhStart,10)</f>
        <v>9</v>
      </c>
      <c r="C17" s="29" t="n">
        <f aca="false">INDEX(PhEnd,10)</f>
        <v>28</v>
      </c>
      <c r="D17" s="22" t="n">
        <f aca="false">INDEX(PhaseHours,10)</f>
        <v>128</v>
      </c>
      <c r="E17" s="9" t="str">
        <f aca="false">Schedule!E55</f>
        <v>Flat</v>
      </c>
      <c r="F17" s="22" t="n">
        <f aca="false">IF(AND(F$5&gt;=$B17,F$5&lt;=$C17,$C17&gt;=$B17),IF($E17="Ramp",IF(RampWeightSum&gt;0,$D17*F$20/RampWeightSum,0),$D17/($C17-$B17+1)),0)</f>
        <v>0</v>
      </c>
      <c r="G17" s="22" t="n">
        <f aca="false">IF(AND(G$5&gt;=$B17,G$5&lt;=$C17,$C17&gt;=$B17),IF($E17="Ramp",IF(RampWeightSum&gt;0,$D17*G$20/RampWeightSum,0),$D17/($C17-$B17+1)),0)</f>
        <v>0</v>
      </c>
      <c r="H17" s="22" t="n">
        <f aca="false">IF(AND(H$5&gt;=$B17,H$5&lt;=$C17,$C17&gt;=$B17),IF($E17="Ramp",IF(RampWeightSum&gt;0,$D17*H$20/RampWeightSum,0),$D17/($C17-$B17+1)),0)</f>
        <v>0</v>
      </c>
      <c r="I17" s="22" t="n">
        <f aca="false">IF(AND(I$5&gt;=$B17,I$5&lt;=$C17,$C17&gt;=$B17),IF($E17="Ramp",IF(RampWeightSum&gt;0,$D17*I$20/RampWeightSum,0),$D17/($C17-$B17+1)),0)</f>
        <v>0</v>
      </c>
      <c r="J17" s="22" t="n">
        <f aca="false">IF(AND(J$5&gt;=$B17,J$5&lt;=$C17,$C17&gt;=$B17),IF($E17="Ramp",IF(RampWeightSum&gt;0,$D17*J$20/RampWeightSum,0),$D17/($C17-$B17+1)),0)</f>
        <v>0</v>
      </c>
      <c r="K17" s="22" t="n">
        <f aca="false">IF(AND(K$5&gt;=$B17,K$5&lt;=$C17,$C17&gt;=$B17),IF($E17="Ramp",IF(RampWeightSum&gt;0,$D17*K$20/RampWeightSum,0),$D17/($C17-$B17+1)),0)</f>
        <v>0</v>
      </c>
      <c r="L17" s="22" t="n">
        <f aca="false">IF(AND(L$5&gt;=$B17,L$5&lt;=$C17,$C17&gt;=$B17),IF($E17="Ramp",IF(RampWeightSum&gt;0,$D17*L$20/RampWeightSum,0),$D17/($C17-$B17+1)),0)</f>
        <v>0</v>
      </c>
      <c r="M17" s="22" t="n">
        <f aca="false">IF(AND(M$5&gt;=$B17,M$5&lt;=$C17,$C17&gt;=$B17),IF($E17="Ramp",IF(RampWeightSum&gt;0,$D17*M$20/RampWeightSum,0),$D17/($C17-$B17+1)),0)</f>
        <v>0</v>
      </c>
      <c r="N17" s="22" t="n">
        <f aca="false">IF(AND(N$5&gt;=$B17,N$5&lt;=$C17,$C17&gt;=$B17),IF($E17="Ramp",IF(RampWeightSum&gt;0,$D17*N$20/RampWeightSum,0),$D17/($C17-$B17+1)),0)</f>
        <v>6.4</v>
      </c>
      <c r="O17" s="22" t="n">
        <f aca="false">IF(AND(O$5&gt;=$B17,O$5&lt;=$C17,$C17&gt;=$B17),IF($E17="Ramp",IF(RampWeightSum&gt;0,$D17*O$20/RampWeightSum,0),$D17/($C17-$B17+1)),0)</f>
        <v>6.4</v>
      </c>
      <c r="P17" s="22" t="n">
        <f aca="false">IF(AND(P$5&gt;=$B17,P$5&lt;=$C17,$C17&gt;=$B17),IF($E17="Ramp",IF(RampWeightSum&gt;0,$D17*P$20/RampWeightSum,0),$D17/($C17-$B17+1)),0)</f>
        <v>6.4</v>
      </c>
      <c r="Q17" s="22" t="n">
        <f aca="false">IF(AND(Q$5&gt;=$B17,Q$5&lt;=$C17,$C17&gt;=$B17),IF($E17="Ramp",IF(RampWeightSum&gt;0,$D17*Q$20/RampWeightSum,0),$D17/($C17-$B17+1)),0)</f>
        <v>6.4</v>
      </c>
      <c r="R17" s="22" t="n">
        <f aca="false">IF(AND(R$5&gt;=$B17,R$5&lt;=$C17,$C17&gt;=$B17),IF($E17="Ramp",IF(RampWeightSum&gt;0,$D17*R$20/RampWeightSum,0),$D17/($C17-$B17+1)),0)</f>
        <v>6.4</v>
      </c>
      <c r="S17" s="22" t="n">
        <f aca="false">IF(AND(S$5&gt;=$B17,S$5&lt;=$C17,$C17&gt;=$B17),IF($E17="Ramp",IF(RampWeightSum&gt;0,$D17*S$20/RampWeightSum,0),$D17/($C17-$B17+1)),0)</f>
        <v>6.4</v>
      </c>
      <c r="T17" s="22" t="n">
        <f aca="false">IF(AND(T$5&gt;=$B17,T$5&lt;=$C17,$C17&gt;=$B17),IF($E17="Ramp",IF(RampWeightSum&gt;0,$D17*T$20/RampWeightSum,0),$D17/($C17-$B17+1)),0)</f>
        <v>6.4</v>
      </c>
      <c r="U17" s="22" t="n">
        <f aca="false">IF(AND(U$5&gt;=$B17,U$5&lt;=$C17,$C17&gt;=$B17),IF($E17="Ramp",IF(RampWeightSum&gt;0,$D17*U$20/RampWeightSum,0),$D17/($C17-$B17+1)),0)</f>
        <v>6.4</v>
      </c>
      <c r="V17" s="22" t="n">
        <f aca="false">IF(AND(V$5&gt;=$B17,V$5&lt;=$C17,$C17&gt;=$B17),IF($E17="Ramp",IF(RampWeightSum&gt;0,$D17*V$20/RampWeightSum,0),$D17/($C17-$B17+1)),0)</f>
        <v>6.4</v>
      </c>
      <c r="W17" s="22" t="n">
        <f aca="false">IF(AND(W$5&gt;=$B17,W$5&lt;=$C17,$C17&gt;=$B17),IF($E17="Ramp",IF(RampWeightSum&gt;0,$D17*W$20/RampWeightSum,0),$D17/($C17-$B17+1)),0)</f>
        <v>6.4</v>
      </c>
      <c r="X17" s="22" t="n">
        <f aca="false">IF(AND(X$5&gt;=$B17,X$5&lt;=$C17,$C17&gt;=$B17),IF($E17="Ramp",IF(RampWeightSum&gt;0,$D17*X$20/RampWeightSum,0),$D17/($C17-$B17+1)),0)</f>
        <v>6.4</v>
      </c>
      <c r="Y17" s="22" t="n">
        <f aca="false">IF(AND(Y$5&gt;=$B17,Y$5&lt;=$C17,$C17&gt;=$B17),IF($E17="Ramp",IF(RampWeightSum&gt;0,$D17*Y$20/RampWeightSum,0),$D17/($C17-$B17+1)),0)</f>
        <v>6.4</v>
      </c>
      <c r="Z17" s="22" t="n">
        <f aca="false">IF(AND(Z$5&gt;=$B17,Z$5&lt;=$C17,$C17&gt;=$B17),IF($E17="Ramp",IF(RampWeightSum&gt;0,$D17*Z$20/RampWeightSum,0),$D17/($C17-$B17+1)),0)</f>
        <v>6.4</v>
      </c>
      <c r="AA17" s="22" t="n">
        <f aca="false">IF(AND(AA$5&gt;=$B17,AA$5&lt;=$C17,$C17&gt;=$B17),IF($E17="Ramp",IF(RampWeightSum&gt;0,$D17*AA$20/RampWeightSum,0),$D17/($C17-$B17+1)),0)</f>
        <v>6.4</v>
      </c>
      <c r="AB17" s="22" t="n">
        <f aca="false">IF(AND(AB$5&gt;=$B17,AB$5&lt;=$C17,$C17&gt;=$B17),IF($E17="Ramp",IF(RampWeightSum&gt;0,$D17*AB$20/RampWeightSum,0),$D17/($C17-$B17+1)),0)</f>
        <v>6.4</v>
      </c>
      <c r="AC17" s="22" t="n">
        <f aca="false">IF(AND(AC$5&gt;=$B17,AC$5&lt;=$C17,$C17&gt;=$B17),IF($E17="Ramp",IF(RampWeightSum&gt;0,$D17*AC$20/RampWeightSum,0),$D17/($C17-$B17+1)),0)</f>
        <v>6.4</v>
      </c>
      <c r="AD17" s="22" t="n">
        <f aca="false">IF(AND(AD$5&gt;=$B17,AD$5&lt;=$C17,$C17&gt;=$B17),IF($E17="Ramp",IF(RampWeightSum&gt;0,$D17*AD$20/RampWeightSum,0),$D17/($C17-$B17+1)),0)</f>
        <v>6.4</v>
      </c>
      <c r="AE17" s="22" t="n">
        <f aca="false">IF(AND(AE$5&gt;=$B17,AE$5&lt;=$C17,$C17&gt;=$B17),IF($E17="Ramp",IF(RampWeightSum&gt;0,$D17*AE$20/RampWeightSum,0),$D17/($C17-$B17+1)),0)</f>
        <v>6.4</v>
      </c>
      <c r="AF17" s="22" t="n">
        <f aca="false">IF(AND(AF$5&gt;=$B17,AF$5&lt;=$C17,$C17&gt;=$B17),IF($E17="Ramp",IF(RampWeightSum&gt;0,$D17*AF$20/RampWeightSum,0),$D17/($C17-$B17+1)),0)</f>
        <v>6.4</v>
      </c>
      <c r="AG17" s="22" t="n">
        <f aca="false">IF(AND(AG$5&gt;=$B17,AG$5&lt;=$C17,$C17&gt;=$B17),IF($E17="Ramp",IF(RampWeightSum&gt;0,$D17*AG$20/RampWeightSum,0),$D17/($C17-$B17+1)),0)</f>
        <v>6.4</v>
      </c>
      <c r="AH17" s="22" t="n">
        <f aca="false">IF(AND(AH$5&gt;=$B17,AH$5&lt;=$C17,$C17&gt;=$B17),IF($E17="Ramp",IF(RampWeightSum&gt;0,$D17*AH$20/RampWeightSum,0),$D17/($C17-$B17+1)),0)</f>
        <v>0</v>
      </c>
      <c r="AI17" s="22" t="n">
        <f aca="false">IF(AND(AI$5&gt;=$B17,AI$5&lt;=$C17,$C17&gt;=$B17),IF($E17="Ramp",IF(RampWeightSum&gt;0,$D17*AI$20/RampWeightSum,0),$D17/($C17-$B17+1)),0)</f>
        <v>0</v>
      </c>
      <c r="AJ17" s="22" t="n">
        <f aca="false">IF(AND(AJ$5&gt;=$B17,AJ$5&lt;=$C17,$C17&gt;=$B17),IF($E17="Ramp",IF(RampWeightSum&gt;0,$D17*AJ$20/RampWeightSum,0),$D17/($C17-$B17+1)),0)</f>
        <v>0</v>
      </c>
      <c r="AK17" s="22" t="n">
        <f aca="false">IF(AND(AK$5&gt;=$B17,AK$5&lt;=$C17,$C17&gt;=$B17),IF($E17="Ramp",IF(RampWeightSum&gt;0,$D17*AK$20/RampWeightSum,0),$D17/($C17-$B17+1)),0)</f>
        <v>0</v>
      </c>
      <c r="AL17" s="22" t="n">
        <f aca="false">IF(AND(AL$5&gt;=$B17,AL$5&lt;=$C17,$C17&gt;=$B17),IF($E17="Ramp",IF(RampWeightSum&gt;0,$D17*AL$20/RampWeightSum,0),$D17/($C17-$B17+1)),0)</f>
        <v>0</v>
      </c>
      <c r="AM17" s="22" t="n">
        <f aca="false">IF(AND(AM$5&gt;=$B17,AM$5&lt;=$C17,$C17&gt;=$B17),IF($E17="Ramp",IF(RampWeightSum&gt;0,$D17*AM$20/RampWeightSum,0),$D17/($C17-$B17+1)),0)</f>
        <v>0</v>
      </c>
      <c r="AN17" s="22" t="n">
        <f aca="false">IF(AND(AN$5&gt;=$B17,AN$5&lt;=$C17,$C17&gt;=$B17),IF($E17="Ramp",IF(RampWeightSum&gt;0,$D17*AN$20/RampWeightSum,0),$D17/($C17-$B17+1)),0)</f>
        <v>0</v>
      </c>
      <c r="AO17" s="22" t="n">
        <f aca="false">IF(AND(AO$5&gt;=$B17,AO$5&lt;=$C17,$C17&gt;=$B17),IF($E17="Ramp",IF(RampWeightSum&gt;0,$D17*AO$20/RampWeightSum,0),$D17/($C17-$B17+1)),0)</f>
        <v>0</v>
      </c>
      <c r="AP17" s="22" t="n">
        <f aca="false">IF(AND(AP$5&gt;=$B17,AP$5&lt;=$C17,$C17&gt;=$B17),IF($E17="Ramp",IF(RampWeightSum&gt;0,$D17*AP$20/RampWeightSum,0),$D17/($C17-$B17+1)),0)</f>
        <v>0</v>
      </c>
      <c r="AQ17" s="22" t="n">
        <f aca="false">IF(AND(AQ$5&gt;=$B17,AQ$5&lt;=$C17,$C17&gt;=$B17),IF($E17="Ramp",IF(RampWeightSum&gt;0,$D17*AQ$20/RampWeightSum,0),$D17/($C17-$B17+1)),0)</f>
        <v>0</v>
      </c>
      <c r="AR17" s="22" t="n">
        <f aca="false">IF(AND(AR$5&gt;=$B17,AR$5&lt;=$C17,$C17&gt;=$B17),IF($E17="Ramp",IF(RampWeightSum&gt;0,$D17*AR$20/RampWeightSum,0),$D17/($C17-$B17+1)),0)</f>
        <v>0</v>
      </c>
      <c r="AS17" s="22" t="n">
        <f aca="false">IF(AND(AS$5&gt;=$B17,AS$5&lt;=$C17,$C17&gt;=$B17),IF($E17="Ramp",IF(RampWeightSum&gt;0,$D17*AS$20/RampWeightSum,0),$D17/($C17-$B17+1)),0)</f>
        <v>0</v>
      </c>
      <c r="AT17" s="22" t="n">
        <f aca="false">IF(AND(AT$5&gt;=$B17,AT$5&lt;=$C17,$C17&gt;=$B17),IF($E17="Ramp",IF(RampWeightSum&gt;0,$D17*AT$20/RampWeightSum,0),$D17/($C17-$B17+1)),0)</f>
        <v>0</v>
      </c>
      <c r="AU17" s="22" t="n">
        <f aca="false">IF(AND(AU$5&gt;=$B17,AU$5&lt;=$C17,$C17&gt;=$B17),IF($E17="Ramp",IF(RampWeightSum&gt;0,$D17*AU$20/RampWeightSum,0),$D17/($C17-$B17+1)),0)</f>
        <v>0</v>
      </c>
      <c r="AV17" s="22" t="n">
        <f aca="false">IF(AND(AV$5&gt;=$B17,AV$5&lt;=$C17,$C17&gt;=$B17),IF($E17="Ramp",IF(RampWeightSum&gt;0,$D17*AV$20/RampWeightSum,0),$D17/($C17-$B17+1)),0)</f>
        <v>0</v>
      </c>
      <c r="AW17" s="22" t="n">
        <f aca="false">IF(AND(AW$5&gt;=$B17,AW$5&lt;=$C17,$C17&gt;=$B17),IF($E17="Ramp",IF(RampWeightSum&gt;0,$D17*AW$20/RampWeightSum,0),$D17/($C17-$B17+1)),0)</f>
        <v>0</v>
      </c>
      <c r="AX17" s="22" t="n">
        <f aca="false">IF(AND(AX$5&gt;=$B17,AX$5&lt;=$C17,$C17&gt;=$B17),IF($E17="Ramp",IF(RampWeightSum&gt;0,$D17*AX$20/RampWeightSum,0),$D17/($C17-$B17+1)),0)</f>
        <v>0</v>
      </c>
      <c r="AY17" s="22" t="n">
        <f aca="false">IF(AND(AY$5&gt;=$B17,AY$5&lt;=$C17,$C17&gt;=$B17),IF($E17="Ramp",IF(RampWeightSum&gt;0,$D17*AY$20/RampWeightSum,0),$D17/($C17-$B17+1)),0)</f>
        <v>0</v>
      </c>
      <c r="AZ17" s="22" t="n">
        <f aca="false">IF(AND(AZ$5&gt;=$B17,AZ$5&lt;=$C17,$C17&gt;=$B17),IF($E17="Ramp",IF(RampWeightSum&gt;0,$D17*AZ$20/RampWeightSum,0),$D17/($C17-$B17+1)),0)</f>
        <v>0</v>
      </c>
      <c r="BA17" s="22" t="n">
        <f aca="false">IF(AND(BA$5&gt;=$B17,BA$5&lt;=$C17,$C17&gt;=$B17),IF($E17="Ramp",IF(RampWeightSum&gt;0,$D17*BA$20/RampWeightSum,0),$D17/($C17-$B17+1)),0)</f>
        <v>0</v>
      </c>
      <c r="BB17" s="22" t="n">
        <f aca="false">IF(AND(BB$5&gt;=$B17,BB$5&lt;=$C17,$C17&gt;=$B17),IF($E17="Ramp",IF(RampWeightSum&gt;0,$D17*BB$20/RampWeightSum,0),$D17/($C17-$B17+1)),0)</f>
        <v>0</v>
      </c>
      <c r="BC17" s="22" t="n">
        <f aca="false">IF(AND(BC$5&gt;=$B17,BC$5&lt;=$C17,$C17&gt;=$B17),IF($E17="Ramp",IF(RampWeightSum&gt;0,$D17*BC$20/RampWeightSum,0),$D17/($C17-$B17+1)),0)</f>
        <v>0</v>
      </c>
      <c r="BD17" s="22" t="n">
        <f aca="false">IF(AND(BD$5&gt;=$B17,BD$5&lt;=$C17,$C17&gt;=$B17),IF($E17="Ramp",IF(RampWeightSum&gt;0,$D17*BD$20/RampWeightSum,0),$D17/($C17-$B17+1)),0)</f>
        <v>0</v>
      </c>
      <c r="BE17" s="22" t="n">
        <f aca="false">IF(AND(BE$5&gt;=$B17,BE$5&lt;=$C17,$C17&gt;=$B17),IF($E17="Ramp",IF(RampWeightSum&gt;0,$D17*BE$20/RampWeightSum,0),$D17/($C17-$B17+1)),0)</f>
        <v>0</v>
      </c>
      <c r="BF17" s="22" t="n">
        <f aca="false">IF(AND(BF$5&gt;=$B17,BF$5&lt;=$C17,$C17&gt;=$B17),IF($E17="Ramp",IF(RampWeightSum&gt;0,$D17*BF$20/RampWeightSum,0),$D17/($C17-$B17+1)),0)</f>
        <v>0</v>
      </c>
      <c r="BG17" s="22" t="n">
        <f aca="false">IF(AND(BG$5&gt;=$B17,BG$5&lt;=$C17,$C17&gt;=$B17),IF($E17="Ramp",IF(RampWeightSum&gt;0,$D17*BG$20/RampWeightSum,0),$D17/($C17-$B17+1)),0)</f>
        <v>0</v>
      </c>
      <c r="BH17" s="22" t="n">
        <f aca="false">IF(AND(BH$5&gt;=$B17,BH$5&lt;=$C17,$C17&gt;=$B17),IF($E17="Ramp",IF(RampWeightSum&gt;0,$D17*BH$20/RampWeightSum,0),$D17/($C17-$B17+1)),0)</f>
        <v>0</v>
      </c>
      <c r="BI17" s="22" t="n">
        <f aca="false">IF(AND(BI$5&gt;=$B17,BI$5&lt;=$C17,$C17&gt;=$B17),IF($E17="Ramp",IF(RampWeightSum&gt;0,$D17*BI$20/RampWeightSum,0),$D17/($C17-$B17+1)),0)</f>
        <v>0</v>
      </c>
      <c r="BJ17" s="22" t="n">
        <f aca="false">IF(AND(BJ$5&gt;=$B17,BJ$5&lt;=$C17,$C17&gt;=$B17),IF($E17="Ramp",IF(RampWeightSum&gt;0,$D17*BJ$20/RampWeightSum,0),$D17/($C17-$B17+1)),0)</f>
        <v>0</v>
      </c>
      <c r="BK17" s="22" t="n">
        <f aca="false">IF(AND(BK$5&gt;=$B17,BK$5&lt;=$C17,$C17&gt;=$B17),IF($E17="Ramp",IF(RampWeightSum&gt;0,$D17*BK$20/RampWeightSum,0),$D17/($C17-$B17+1)),0)</f>
        <v>0</v>
      </c>
      <c r="BL17" s="22" t="n">
        <f aca="false">IF(AND(BL$5&gt;=$B17,BL$5&lt;=$C17,$C17&gt;=$B17),IF($E17="Ramp",IF(RampWeightSum&gt;0,$D17*BL$20/RampWeightSum,0),$D17/($C17-$B17+1)),0)</f>
        <v>0</v>
      </c>
      <c r="BM17" s="22" t="n">
        <f aca="false">IF(AND(BM$5&gt;=$B17,BM$5&lt;=$C17,$C17&gt;=$B17),IF($E17="Ramp",IF(RampWeightSum&gt;0,$D17*BM$20/RampWeightSum,0),$D17/($C17-$B17+1)),0)</f>
        <v>0</v>
      </c>
      <c r="BN17" s="22" t="n">
        <f aca="false">IF(AND(BN$5&gt;=$B17,BN$5&lt;=$C17,$C17&gt;=$B17),IF($E17="Ramp",IF(RampWeightSum&gt;0,$D17*BN$20/RampWeightSum,0),$D17/($C17-$B17+1)),0)</f>
        <v>0</v>
      </c>
      <c r="BO17" s="22" t="n">
        <f aca="false">IF(AND(BO$5&gt;=$B17,BO$5&lt;=$C17,$C17&gt;=$B17),IF($E17="Ramp",IF(RampWeightSum&gt;0,$D17*BO$20/RampWeightSum,0),$D17/($C17-$B17+1)),0)</f>
        <v>0</v>
      </c>
      <c r="BP17" s="22" t="n">
        <f aca="false">IF(AND(BP$5&gt;=$B17,BP$5&lt;=$C17,$C17&gt;=$B17),IF($E17="Ramp",IF(RampWeightSum&gt;0,$D17*BP$20/RampWeightSum,0),$D17/($C17-$B17+1)),0)</f>
        <v>0</v>
      </c>
      <c r="BQ17" s="22" t="n">
        <f aca="false">IF(AND(BQ$5&gt;=$B17,BQ$5&lt;=$C17,$C17&gt;=$B17),IF($E17="Ramp",IF(RampWeightSum&gt;0,$D17*BQ$20/RampWeightSum,0),$D17/($C17-$B17+1)),0)</f>
        <v>0</v>
      </c>
      <c r="BR17" s="22" t="n">
        <f aca="false">IF(AND(BR$5&gt;=$B17,BR$5&lt;=$C17,$C17&gt;=$B17),IF($E17="Ramp",IF(RampWeightSum&gt;0,$D17*BR$20/RampWeightSum,0),$D17/($C17-$B17+1)),0)</f>
        <v>0</v>
      </c>
      <c r="BS17" s="22" t="n">
        <f aca="false">IF(AND(BS$5&gt;=$B17,BS$5&lt;=$C17,$C17&gt;=$B17),IF($E17="Ramp",IF(RampWeightSum&gt;0,$D17*BS$20/RampWeightSum,0),$D17/($C17-$B17+1)),0)</f>
        <v>0</v>
      </c>
      <c r="BT17" s="22" t="n">
        <f aca="false">IF(AND(BT$5&gt;=$B17,BT$5&lt;=$C17,$C17&gt;=$B17),IF($E17="Ramp",IF(RampWeightSum&gt;0,$D17*BT$20/RampWeightSum,0),$D17/($C17-$B17+1)),0)</f>
        <v>0</v>
      </c>
      <c r="BU17" s="22" t="n">
        <f aca="false">IF(AND(BU$5&gt;=$B17,BU$5&lt;=$C17,$C17&gt;=$B17),IF($E17="Ramp",IF(RampWeightSum&gt;0,$D17*BU$20/RampWeightSum,0),$D17/($C17-$B17+1)),0)</f>
        <v>0</v>
      </c>
      <c r="BV17" s="22" t="n">
        <f aca="false">IF(AND(BV$5&gt;=$B17,BV$5&lt;=$C17,$C17&gt;=$B17),IF($E17="Ramp",IF(RampWeightSum&gt;0,$D17*BV$20/RampWeightSum,0),$D17/($C17-$B17+1)),0)</f>
        <v>0</v>
      </c>
      <c r="BW17" s="22" t="n">
        <f aca="false">IF(AND(BW$5&gt;=$B17,BW$5&lt;=$C17,$C17&gt;=$B17),IF($E17="Ramp",IF(RampWeightSum&gt;0,$D17*BW$20/RampWeightSum,0),$D17/($C17-$B17+1)),0)</f>
        <v>0</v>
      </c>
      <c r="BX17" s="22" t="n">
        <f aca="false">IF(AND(BX$5&gt;=$B17,BX$5&lt;=$C17,$C17&gt;=$B17),IF($E17="Ramp",IF(RampWeightSum&gt;0,$D17*BX$20/RampWeightSum,0),$D17/($C17-$B17+1)),0)</f>
        <v>0</v>
      </c>
      <c r="BY17" s="22" t="n">
        <f aca="false">IF(AND(BY$5&gt;=$B17,BY$5&lt;=$C17,$C17&gt;=$B17),IF($E17="Ramp",IF(RampWeightSum&gt;0,$D17*BY$20/RampWeightSum,0),$D17/($C17-$B17+1)),0)</f>
        <v>0</v>
      </c>
      <c r="BZ17" s="22" t="n">
        <f aca="false">IF(AND(BZ$5&gt;=$B17,BZ$5&lt;=$C17,$C17&gt;=$B17),IF($E17="Ramp",IF(RampWeightSum&gt;0,$D17*BZ$20/RampWeightSum,0),$D17/($C17-$B17+1)),0)</f>
        <v>0</v>
      </c>
      <c r="CA17" s="22" t="n">
        <f aca="false">IF(AND(CA$5&gt;=$B17,CA$5&lt;=$C17,$C17&gt;=$B17),IF($E17="Ramp",IF(RampWeightSum&gt;0,$D17*CA$20/RampWeightSum,0),$D17/($C17-$B17+1)),0)</f>
        <v>0</v>
      </c>
      <c r="CB17" s="22" t="n">
        <f aca="false">IF(AND(CB$5&gt;=$B17,CB$5&lt;=$C17,$C17&gt;=$B17),IF($E17="Ramp",IF(RampWeightSum&gt;0,$D17*CB$20/RampWeightSum,0),$D17/($C17-$B17+1)),0)</f>
        <v>0</v>
      </c>
      <c r="CC17" s="22" t="n">
        <f aca="false">IF(AND(CC$5&gt;=$B17,CC$5&lt;=$C17,$C17&gt;=$B17),IF($E17="Ramp",IF(RampWeightSum&gt;0,$D17*CC$20/RampWeightSum,0),$D17/($C17-$B17+1)),0)</f>
        <v>0</v>
      </c>
      <c r="CD17" s="22" t="n">
        <f aca="false">IF(AND(CD$5&gt;=$B17,CD$5&lt;=$C17,$C17&gt;=$B17),IF($E17="Ramp",IF(RampWeightSum&gt;0,$D17*CD$20/RampWeightSum,0),$D17/($C17-$B17+1)),0)</f>
        <v>0</v>
      </c>
      <c r="CE17" s="22" t="n">
        <f aca="false">IF(AND(CE$5&gt;=$B17,CE$5&lt;=$C17,$C17&gt;=$B17),IF($E17="Ramp",IF(RampWeightSum&gt;0,$D17*CE$20/RampWeightSum,0),$D17/($C17-$B17+1)),0)</f>
        <v>0</v>
      </c>
      <c r="CF17" s="22" t="n">
        <f aca="false">IF(AND(CF$5&gt;=$B17,CF$5&lt;=$C17,$C17&gt;=$B17),IF($E17="Ramp",IF(RampWeightSum&gt;0,$D17*CF$20/RampWeightSum,0),$D17/($C17-$B17+1)),0)</f>
        <v>0</v>
      </c>
      <c r="CG17" s="22" t="n">
        <f aca="false">IF(AND(CG$5&gt;=$B17,CG$5&lt;=$C17,$C17&gt;=$B17),IF($E17="Ramp",IF(RampWeightSum&gt;0,$D17*CG$20/RampWeightSum,0),$D17/($C17-$B17+1)),0)</f>
        <v>0</v>
      </c>
      <c r="CH17" s="22" t="n">
        <f aca="false">IF(AND(CH$5&gt;=$B17,CH$5&lt;=$C17,$C17&gt;=$B17),IF($E17="Ramp",IF(RampWeightSum&gt;0,$D17*CH$20/RampWeightSum,0),$D17/($C17-$B17+1)),0)</f>
        <v>0</v>
      </c>
      <c r="CI17" s="22" t="n">
        <f aca="false">IF(AND(CI$5&gt;=$B17,CI$5&lt;=$C17,$C17&gt;=$B17),IF($E17="Ramp",IF(RampWeightSum&gt;0,$D17*CI$20/RampWeightSum,0),$D17/($C17-$B17+1)),0)</f>
        <v>0</v>
      </c>
      <c r="CJ17" s="22" t="n">
        <f aca="false">IF(AND(CJ$5&gt;=$B17,CJ$5&lt;=$C17,$C17&gt;=$B17),IF($E17="Ramp",IF(RampWeightSum&gt;0,$D17*CJ$20/RampWeightSum,0),$D17/($C17-$B17+1)),0)</f>
        <v>0</v>
      </c>
      <c r="CK17" s="22" t="n">
        <f aca="false">IF(AND(CK$5&gt;=$B17,CK$5&lt;=$C17,$C17&gt;=$B17),IF($E17="Ramp",IF(RampWeightSum&gt;0,$D17*CK$20/RampWeightSum,0),$D17/($C17-$B17+1)),0)</f>
        <v>0</v>
      </c>
      <c r="CL17" s="22" t="n">
        <f aca="false">IF(AND(CL$5&gt;=$B17,CL$5&lt;=$C17,$C17&gt;=$B17),IF($E17="Ramp",IF(RampWeightSum&gt;0,$D17*CL$20/RampWeightSum,0),$D17/($C17-$B17+1)),0)</f>
        <v>0</v>
      </c>
      <c r="CM17" s="22" t="n">
        <f aca="false">IF(AND(CM$5&gt;=$B17,CM$5&lt;=$C17,$C17&gt;=$B17),IF($E17="Ramp",IF(RampWeightSum&gt;0,$D17*CM$20/RampWeightSum,0),$D17/($C17-$B17+1)),0)</f>
        <v>0</v>
      </c>
      <c r="CN17" s="22" t="n">
        <f aca="false">IF(AND(CN$5&gt;=$B17,CN$5&lt;=$C17,$C17&gt;=$B17),IF($E17="Ramp",IF(RampWeightSum&gt;0,$D17*CN$20/RampWeightSum,0),$D17/($C17-$B17+1)),0)</f>
        <v>0</v>
      </c>
      <c r="CO17" s="22" t="n">
        <f aca="false">IF(AND(CO$5&gt;=$B17,CO$5&lt;=$C17,$C17&gt;=$B17),IF($E17="Ramp",IF(RampWeightSum&gt;0,$D17*CO$20/RampWeightSum,0),$D17/($C17-$B17+1)),0)</f>
        <v>0</v>
      </c>
      <c r="CP17" s="22" t="n">
        <f aca="false">IF(AND(CP$5&gt;=$B17,CP$5&lt;=$C17,$C17&gt;=$B17),IF($E17="Ramp",IF(RampWeightSum&gt;0,$D17*CP$20/RampWeightSum,0),$D17/($C17-$B17+1)),0)</f>
        <v>0</v>
      </c>
      <c r="CQ17" s="22" t="n">
        <f aca="false">IF(AND(CQ$5&gt;=$B17,CQ$5&lt;=$C17,$C17&gt;=$B17),IF($E17="Ramp",IF(RampWeightSum&gt;0,$D17*CQ$20/RampWeightSum,0),$D17/($C17-$B17+1)),0)</f>
        <v>0</v>
      </c>
      <c r="CR17" s="22" t="n">
        <f aca="false">IF(AND(CR$5&gt;=$B17,CR$5&lt;=$C17,$C17&gt;=$B17),IF($E17="Ramp",IF(RampWeightSum&gt;0,$D17*CR$20/RampWeightSum,0),$D17/($C17-$B17+1)),0)</f>
        <v>0</v>
      </c>
      <c r="CS17" s="22" t="n">
        <f aca="false">IF(AND(CS$5&gt;=$B17,CS$5&lt;=$C17,$C17&gt;=$B17),IF($E17="Ramp",IF(RampWeightSum&gt;0,$D17*CS$20/RampWeightSum,0),$D17/($C17-$B17+1)),0)</f>
        <v>0</v>
      </c>
      <c r="CT17" s="22" t="n">
        <f aca="false">IF(AND(CT$5&gt;=$B17,CT$5&lt;=$C17,$C17&gt;=$B17),IF($E17="Ramp",IF(RampWeightSum&gt;0,$D17*CT$20/RampWeightSum,0),$D17/($C17-$B17+1)),0)</f>
        <v>0</v>
      </c>
      <c r="CU17" s="22" t="n">
        <f aca="false">IF(AND(CU$5&gt;=$B17,CU$5&lt;=$C17,$C17&gt;=$B17),IF($E17="Ramp",IF(RampWeightSum&gt;0,$D17*CU$20/RampWeightSum,0),$D17/($C17-$B17+1)),0)</f>
        <v>0</v>
      </c>
      <c r="CV17" s="22" t="n">
        <f aca="false">IF(AND(CV$5&gt;=$B17,CV$5&lt;=$C17,$C17&gt;=$B17),IF($E17="Ramp",IF(RampWeightSum&gt;0,$D17*CV$20/RampWeightSum,0),$D17/($C17-$B17+1)),0)</f>
        <v>0</v>
      </c>
      <c r="CW17" s="22" t="n">
        <f aca="false">IF(AND(CW$5&gt;=$B17,CW$5&lt;=$C17,$C17&gt;=$B17),IF($E17="Ramp",IF(RampWeightSum&gt;0,$D17*CW$20/RampWeightSum,0),$D17/($C17-$B17+1)),0)</f>
        <v>0</v>
      </c>
      <c r="CX17" s="22" t="n">
        <f aca="false">IF(AND(CX$5&gt;=$B17,CX$5&lt;=$C17,$C17&gt;=$B17),IF($E17="Ramp",IF(RampWeightSum&gt;0,$D17*CX$20/RampWeightSum,0),$D17/($C17-$B17+1)),0)</f>
        <v>0</v>
      </c>
      <c r="CY17" s="22" t="n">
        <f aca="false">IF(AND(CY$5&gt;=$B17,CY$5&lt;=$C17,$C17&gt;=$B17),IF($E17="Ramp",IF(RampWeightSum&gt;0,$D17*CY$20/RampWeightSum,0),$D17/($C17-$B17+1)),0)</f>
        <v>0</v>
      </c>
      <c r="CZ17" s="22" t="n">
        <f aca="false">IF(AND(CZ$5&gt;=$B17,CZ$5&lt;=$C17,$C17&gt;=$B17),IF($E17="Ramp",IF(RampWeightSum&gt;0,$D17*CZ$20/RampWeightSum,0),$D17/($C17-$B17+1)),0)</f>
        <v>0</v>
      </c>
      <c r="DA17" s="22" t="n">
        <f aca="false">IF(AND(DA$5&gt;=$B17,DA$5&lt;=$C17,$C17&gt;=$B17),IF($E17="Ramp",IF(RampWeightSum&gt;0,$D17*DA$20/RampWeightSum,0),$D17/($C17-$B17+1)),0)</f>
        <v>0</v>
      </c>
      <c r="DB17" s="22" t="n">
        <f aca="false">IF(AND(DB$5&gt;=$B17,DB$5&lt;=$C17,$C17&gt;=$B17),IF($E17="Ramp",IF(RampWeightSum&gt;0,$D17*DB$20/RampWeightSum,0),$D17/($C17-$B17+1)),0)</f>
        <v>0</v>
      </c>
      <c r="DC17" s="22" t="n">
        <f aca="false">IF(AND(DC$5&gt;=$B17,DC$5&lt;=$C17,$C17&gt;=$B17),IF($E17="Ramp",IF(RampWeightSum&gt;0,$D17*DC$20/RampWeightSum,0),$D17/($C17-$B17+1)),0)</f>
        <v>0</v>
      </c>
      <c r="DD17" s="22" t="n">
        <f aca="false">IF(AND(DD$5&gt;=$B17,DD$5&lt;=$C17,$C17&gt;=$B17),IF($E17="Ramp",IF(RampWeightSum&gt;0,$D17*DD$20/RampWeightSum,0),$D17/($C17-$B17+1)),0)</f>
        <v>0</v>
      </c>
      <c r="DE17" s="22" t="n">
        <f aca="false">IF(AND(DE$5&gt;=$B17,DE$5&lt;=$C17,$C17&gt;=$B17),IF($E17="Ramp",IF(RampWeightSum&gt;0,$D17*DE$20/RampWeightSum,0),$D17/($C17-$B17+1)),0)</f>
        <v>0</v>
      </c>
    </row>
    <row r="18" customFormat="false" ht="15" hidden="false" customHeight="false" outlineLevel="0" collapsed="false">
      <c r="A18" s="9" t="s">
        <v>93</v>
      </c>
      <c r="B18" s="29" t="n">
        <f aca="false">INDEX(PhStart,11)</f>
        <v>1</v>
      </c>
      <c r="C18" s="29" t="n">
        <f aca="false">INDEX(PhEnd,11)</f>
        <v>36</v>
      </c>
      <c r="D18" s="22" t="n">
        <f aca="false">INDEX(PhaseHours,11)</f>
        <v>1440</v>
      </c>
      <c r="E18" s="9" t="str">
        <f aca="false">Schedule!E56</f>
        <v>Flat</v>
      </c>
      <c r="F18" s="22" t="n">
        <f aca="false">IF(AND(F$5&gt;=$B18,F$5&lt;=$C18,$C18&gt;=$B18),IF($E18="Ramp",IF(RampWeightSum&gt;0,$D18*F$20/RampWeightSum,0),$D18/($C18-$B18+1)),0)</f>
        <v>40</v>
      </c>
      <c r="G18" s="22" t="n">
        <f aca="false">IF(AND(G$5&gt;=$B18,G$5&lt;=$C18,$C18&gt;=$B18),IF($E18="Ramp",IF(RampWeightSum&gt;0,$D18*G$20/RampWeightSum,0),$D18/($C18-$B18+1)),0)</f>
        <v>40</v>
      </c>
      <c r="H18" s="22" t="n">
        <f aca="false">IF(AND(H$5&gt;=$B18,H$5&lt;=$C18,$C18&gt;=$B18),IF($E18="Ramp",IF(RampWeightSum&gt;0,$D18*H$20/RampWeightSum,0),$D18/($C18-$B18+1)),0)</f>
        <v>40</v>
      </c>
      <c r="I18" s="22" t="n">
        <f aca="false">IF(AND(I$5&gt;=$B18,I$5&lt;=$C18,$C18&gt;=$B18),IF($E18="Ramp",IF(RampWeightSum&gt;0,$D18*I$20/RampWeightSum,0),$D18/($C18-$B18+1)),0)</f>
        <v>40</v>
      </c>
      <c r="J18" s="22" t="n">
        <f aca="false">IF(AND(J$5&gt;=$B18,J$5&lt;=$C18,$C18&gt;=$B18),IF($E18="Ramp",IF(RampWeightSum&gt;0,$D18*J$20/RampWeightSum,0),$D18/($C18-$B18+1)),0)</f>
        <v>40</v>
      </c>
      <c r="K18" s="22" t="n">
        <f aca="false">IF(AND(K$5&gt;=$B18,K$5&lt;=$C18,$C18&gt;=$B18),IF($E18="Ramp",IF(RampWeightSum&gt;0,$D18*K$20/RampWeightSum,0),$D18/($C18-$B18+1)),0)</f>
        <v>40</v>
      </c>
      <c r="L18" s="22" t="n">
        <f aca="false">IF(AND(L$5&gt;=$B18,L$5&lt;=$C18,$C18&gt;=$B18),IF($E18="Ramp",IF(RampWeightSum&gt;0,$D18*L$20/RampWeightSum,0),$D18/($C18-$B18+1)),0)</f>
        <v>40</v>
      </c>
      <c r="M18" s="22" t="n">
        <f aca="false">IF(AND(M$5&gt;=$B18,M$5&lt;=$C18,$C18&gt;=$B18),IF($E18="Ramp",IF(RampWeightSum&gt;0,$D18*M$20/RampWeightSum,0),$D18/($C18-$B18+1)),0)</f>
        <v>40</v>
      </c>
      <c r="N18" s="22" t="n">
        <f aca="false">IF(AND(N$5&gt;=$B18,N$5&lt;=$C18,$C18&gt;=$B18),IF($E18="Ramp",IF(RampWeightSum&gt;0,$D18*N$20/RampWeightSum,0),$D18/($C18-$B18+1)),0)</f>
        <v>40</v>
      </c>
      <c r="O18" s="22" t="n">
        <f aca="false">IF(AND(O$5&gt;=$B18,O$5&lt;=$C18,$C18&gt;=$B18),IF($E18="Ramp",IF(RampWeightSum&gt;0,$D18*O$20/RampWeightSum,0),$D18/($C18-$B18+1)),0)</f>
        <v>40</v>
      </c>
      <c r="P18" s="22" t="n">
        <f aca="false">IF(AND(P$5&gt;=$B18,P$5&lt;=$C18,$C18&gt;=$B18),IF($E18="Ramp",IF(RampWeightSum&gt;0,$D18*P$20/RampWeightSum,0),$D18/($C18-$B18+1)),0)</f>
        <v>40</v>
      </c>
      <c r="Q18" s="22" t="n">
        <f aca="false">IF(AND(Q$5&gt;=$B18,Q$5&lt;=$C18,$C18&gt;=$B18),IF($E18="Ramp",IF(RampWeightSum&gt;0,$D18*Q$20/RampWeightSum,0),$D18/($C18-$B18+1)),0)</f>
        <v>40</v>
      </c>
      <c r="R18" s="22" t="n">
        <f aca="false">IF(AND(R$5&gt;=$B18,R$5&lt;=$C18,$C18&gt;=$B18),IF($E18="Ramp",IF(RampWeightSum&gt;0,$D18*R$20/RampWeightSum,0),$D18/($C18-$B18+1)),0)</f>
        <v>40</v>
      </c>
      <c r="S18" s="22" t="n">
        <f aca="false">IF(AND(S$5&gt;=$B18,S$5&lt;=$C18,$C18&gt;=$B18),IF($E18="Ramp",IF(RampWeightSum&gt;0,$D18*S$20/RampWeightSum,0),$D18/($C18-$B18+1)),0)</f>
        <v>40</v>
      </c>
      <c r="T18" s="22" t="n">
        <f aca="false">IF(AND(T$5&gt;=$B18,T$5&lt;=$C18,$C18&gt;=$B18),IF($E18="Ramp",IF(RampWeightSum&gt;0,$D18*T$20/RampWeightSum,0),$D18/($C18-$B18+1)),0)</f>
        <v>40</v>
      </c>
      <c r="U18" s="22" t="n">
        <f aca="false">IF(AND(U$5&gt;=$B18,U$5&lt;=$C18,$C18&gt;=$B18),IF($E18="Ramp",IF(RampWeightSum&gt;0,$D18*U$20/RampWeightSum,0),$D18/($C18-$B18+1)),0)</f>
        <v>40</v>
      </c>
      <c r="V18" s="22" t="n">
        <f aca="false">IF(AND(V$5&gt;=$B18,V$5&lt;=$C18,$C18&gt;=$B18),IF($E18="Ramp",IF(RampWeightSum&gt;0,$D18*V$20/RampWeightSum,0),$D18/($C18-$B18+1)),0)</f>
        <v>40</v>
      </c>
      <c r="W18" s="22" t="n">
        <f aca="false">IF(AND(W$5&gt;=$B18,W$5&lt;=$C18,$C18&gt;=$B18),IF($E18="Ramp",IF(RampWeightSum&gt;0,$D18*W$20/RampWeightSum,0),$D18/($C18-$B18+1)),0)</f>
        <v>40</v>
      </c>
      <c r="X18" s="22" t="n">
        <f aca="false">IF(AND(X$5&gt;=$B18,X$5&lt;=$C18,$C18&gt;=$B18),IF($E18="Ramp",IF(RampWeightSum&gt;0,$D18*X$20/RampWeightSum,0),$D18/($C18-$B18+1)),0)</f>
        <v>40</v>
      </c>
      <c r="Y18" s="22" t="n">
        <f aca="false">IF(AND(Y$5&gt;=$B18,Y$5&lt;=$C18,$C18&gt;=$B18),IF($E18="Ramp",IF(RampWeightSum&gt;0,$D18*Y$20/RampWeightSum,0),$D18/($C18-$B18+1)),0)</f>
        <v>40</v>
      </c>
      <c r="Z18" s="22" t="n">
        <f aca="false">IF(AND(Z$5&gt;=$B18,Z$5&lt;=$C18,$C18&gt;=$B18),IF($E18="Ramp",IF(RampWeightSum&gt;0,$D18*Z$20/RampWeightSum,0),$D18/($C18-$B18+1)),0)</f>
        <v>40</v>
      </c>
      <c r="AA18" s="22" t="n">
        <f aca="false">IF(AND(AA$5&gt;=$B18,AA$5&lt;=$C18,$C18&gt;=$B18),IF($E18="Ramp",IF(RampWeightSum&gt;0,$D18*AA$20/RampWeightSum,0),$D18/($C18-$B18+1)),0)</f>
        <v>40</v>
      </c>
      <c r="AB18" s="22" t="n">
        <f aca="false">IF(AND(AB$5&gt;=$B18,AB$5&lt;=$C18,$C18&gt;=$B18),IF($E18="Ramp",IF(RampWeightSum&gt;0,$D18*AB$20/RampWeightSum,0),$D18/($C18-$B18+1)),0)</f>
        <v>40</v>
      </c>
      <c r="AC18" s="22" t="n">
        <f aca="false">IF(AND(AC$5&gt;=$B18,AC$5&lt;=$C18,$C18&gt;=$B18),IF($E18="Ramp",IF(RampWeightSum&gt;0,$D18*AC$20/RampWeightSum,0),$D18/($C18-$B18+1)),0)</f>
        <v>40</v>
      </c>
      <c r="AD18" s="22" t="n">
        <f aca="false">IF(AND(AD$5&gt;=$B18,AD$5&lt;=$C18,$C18&gt;=$B18),IF($E18="Ramp",IF(RampWeightSum&gt;0,$D18*AD$20/RampWeightSum,0),$D18/($C18-$B18+1)),0)</f>
        <v>40</v>
      </c>
      <c r="AE18" s="22" t="n">
        <f aca="false">IF(AND(AE$5&gt;=$B18,AE$5&lt;=$C18,$C18&gt;=$B18),IF($E18="Ramp",IF(RampWeightSum&gt;0,$D18*AE$20/RampWeightSum,0),$D18/($C18-$B18+1)),0)</f>
        <v>40</v>
      </c>
      <c r="AF18" s="22" t="n">
        <f aca="false">IF(AND(AF$5&gt;=$B18,AF$5&lt;=$C18,$C18&gt;=$B18),IF($E18="Ramp",IF(RampWeightSum&gt;0,$D18*AF$20/RampWeightSum,0),$D18/($C18-$B18+1)),0)</f>
        <v>40</v>
      </c>
      <c r="AG18" s="22" t="n">
        <f aca="false">IF(AND(AG$5&gt;=$B18,AG$5&lt;=$C18,$C18&gt;=$B18),IF($E18="Ramp",IF(RampWeightSum&gt;0,$D18*AG$20/RampWeightSum,0),$D18/($C18-$B18+1)),0)</f>
        <v>40</v>
      </c>
      <c r="AH18" s="22" t="n">
        <f aca="false">IF(AND(AH$5&gt;=$B18,AH$5&lt;=$C18,$C18&gt;=$B18),IF($E18="Ramp",IF(RampWeightSum&gt;0,$D18*AH$20/RampWeightSum,0),$D18/($C18-$B18+1)),0)</f>
        <v>40</v>
      </c>
      <c r="AI18" s="22" t="n">
        <f aca="false">IF(AND(AI$5&gt;=$B18,AI$5&lt;=$C18,$C18&gt;=$B18),IF($E18="Ramp",IF(RampWeightSum&gt;0,$D18*AI$20/RampWeightSum,0),$D18/($C18-$B18+1)),0)</f>
        <v>40</v>
      </c>
      <c r="AJ18" s="22" t="n">
        <f aca="false">IF(AND(AJ$5&gt;=$B18,AJ$5&lt;=$C18,$C18&gt;=$B18),IF($E18="Ramp",IF(RampWeightSum&gt;0,$D18*AJ$20/RampWeightSum,0),$D18/($C18-$B18+1)),0)</f>
        <v>40</v>
      </c>
      <c r="AK18" s="22" t="n">
        <f aca="false">IF(AND(AK$5&gt;=$B18,AK$5&lt;=$C18,$C18&gt;=$B18),IF($E18="Ramp",IF(RampWeightSum&gt;0,$D18*AK$20/RampWeightSum,0),$D18/($C18-$B18+1)),0)</f>
        <v>40</v>
      </c>
      <c r="AL18" s="22" t="n">
        <f aca="false">IF(AND(AL$5&gt;=$B18,AL$5&lt;=$C18,$C18&gt;=$B18),IF($E18="Ramp",IF(RampWeightSum&gt;0,$D18*AL$20/RampWeightSum,0),$D18/($C18-$B18+1)),0)</f>
        <v>40</v>
      </c>
      <c r="AM18" s="22" t="n">
        <f aca="false">IF(AND(AM$5&gt;=$B18,AM$5&lt;=$C18,$C18&gt;=$B18),IF($E18="Ramp",IF(RampWeightSum&gt;0,$D18*AM$20/RampWeightSum,0),$D18/($C18-$B18+1)),0)</f>
        <v>40</v>
      </c>
      <c r="AN18" s="22" t="n">
        <f aca="false">IF(AND(AN$5&gt;=$B18,AN$5&lt;=$C18,$C18&gt;=$B18),IF($E18="Ramp",IF(RampWeightSum&gt;0,$D18*AN$20/RampWeightSum,0),$D18/($C18-$B18+1)),0)</f>
        <v>40</v>
      </c>
      <c r="AO18" s="22" t="n">
        <f aca="false">IF(AND(AO$5&gt;=$B18,AO$5&lt;=$C18,$C18&gt;=$B18),IF($E18="Ramp",IF(RampWeightSum&gt;0,$D18*AO$20/RampWeightSum,0),$D18/($C18-$B18+1)),0)</f>
        <v>40</v>
      </c>
      <c r="AP18" s="22" t="n">
        <f aca="false">IF(AND(AP$5&gt;=$B18,AP$5&lt;=$C18,$C18&gt;=$B18),IF($E18="Ramp",IF(RampWeightSum&gt;0,$D18*AP$20/RampWeightSum,0),$D18/($C18-$B18+1)),0)</f>
        <v>0</v>
      </c>
      <c r="AQ18" s="22" t="n">
        <f aca="false">IF(AND(AQ$5&gt;=$B18,AQ$5&lt;=$C18,$C18&gt;=$B18),IF($E18="Ramp",IF(RampWeightSum&gt;0,$D18*AQ$20/RampWeightSum,0),$D18/($C18-$B18+1)),0)</f>
        <v>0</v>
      </c>
      <c r="AR18" s="22" t="n">
        <f aca="false">IF(AND(AR$5&gt;=$B18,AR$5&lt;=$C18,$C18&gt;=$B18),IF($E18="Ramp",IF(RampWeightSum&gt;0,$D18*AR$20/RampWeightSum,0),$D18/($C18-$B18+1)),0)</f>
        <v>0</v>
      </c>
      <c r="AS18" s="22" t="n">
        <f aca="false">IF(AND(AS$5&gt;=$B18,AS$5&lt;=$C18,$C18&gt;=$B18),IF($E18="Ramp",IF(RampWeightSum&gt;0,$D18*AS$20/RampWeightSum,0),$D18/($C18-$B18+1)),0)</f>
        <v>0</v>
      </c>
      <c r="AT18" s="22" t="n">
        <f aca="false">IF(AND(AT$5&gt;=$B18,AT$5&lt;=$C18,$C18&gt;=$B18),IF($E18="Ramp",IF(RampWeightSum&gt;0,$D18*AT$20/RampWeightSum,0),$D18/($C18-$B18+1)),0)</f>
        <v>0</v>
      </c>
      <c r="AU18" s="22" t="n">
        <f aca="false">IF(AND(AU$5&gt;=$B18,AU$5&lt;=$C18,$C18&gt;=$B18),IF($E18="Ramp",IF(RampWeightSum&gt;0,$D18*AU$20/RampWeightSum,0),$D18/($C18-$B18+1)),0)</f>
        <v>0</v>
      </c>
      <c r="AV18" s="22" t="n">
        <f aca="false">IF(AND(AV$5&gt;=$B18,AV$5&lt;=$C18,$C18&gt;=$B18),IF($E18="Ramp",IF(RampWeightSum&gt;0,$D18*AV$20/RampWeightSum,0),$D18/($C18-$B18+1)),0)</f>
        <v>0</v>
      </c>
      <c r="AW18" s="22" t="n">
        <f aca="false">IF(AND(AW$5&gt;=$B18,AW$5&lt;=$C18,$C18&gt;=$B18),IF($E18="Ramp",IF(RampWeightSum&gt;0,$D18*AW$20/RampWeightSum,0),$D18/($C18-$B18+1)),0)</f>
        <v>0</v>
      </c>
      <c r="AX18" s="22" t="n">
        <f aca="false">IF(AND(AX$5&gt;=$B18,AX$5&lt;=$C18,$C18&gt;=$B18),IF($E18="Ramp",IF(RampWeightSum&gt;0,$D18*AX$20/RampWeightSum,0),$D18/($C18-$B18+1)),0)</f>
        <v>0</v>
      </c>
      <c r="AY18" s="22" t="n">
        <f aca="false">IF(AND(AY$5&gt;=$B18,AY$5&lt;=$C18,$C18&gt;=$B18),IF($E18="Ramp",IF(RampWeightSum&gt;0,$D18*AY$20/RampWeightSum,0),$D18/($C18-$B18+1)),0)</f>
        <v>0</v>
      </c>
      <c r="AZ18" s="22" t="n">
        <f aca="false">IF(AND(AZ$5&gt;=$B18,AZ$5&lt;=$C18,$C18&gt;=$B18),IF($E18="Ramp",IF(RampWeightSum&gt;0,$D18*AZ$20/RampWeightSum,0),$D18/($C18-$B18+1)),0)</f>
        <v>0</v>
      </c>
      <c r="BA18" s="22" t="n">
        <f aca="false">IF(AND(BA$5&gt;=$B18,BA$5&lt;=$C18,$C18&gt;=$B18),IF($E18="Ramp",IF(RampWeightSum&gt;0,$D18*BA$20/RampWeightSum,0),$D18/($C18-$B18+1)),0)</f>
        <v>0</v>
      </c>
      <c r="BB18" s="22" t="n">
        <f aca="false">IF(AND(BB$5&gt;=$B18,BB$5&lt;=$C18,$C18&gt;=$B18),IF($E18="Ramp",IF(RampWeightSum&gt;0,$D18*BB$20/RampWeightSum,0),$D18/($C18-$B18+1)),0)</f>
        <v>0</v>
      </c>
      <c r="BC18" s="22" t="n">
        <f aca="false">IF(AND(BC$5&gt;=$B18,BC$5&lt;=$C18,$C18&gt;=$B18),IF($E18="Ramp",IF(RampWeightSum&gt;0,$D18*BC$20/RampWeightSum,0),$D18/($C18-$B18+1)),0)</f>
        <v>0</v>
      </c>
      <c r="BD18" s="22" t="n">
        <f aca="false">IF(AND(BD$5&gt;=$B18,BD$5&lt;=$C18,$C18&gt;=$B18),IF($E18="Ramp",IF(RampWeightSum&gt;0,$D18*BD$20/RampWeightSum,0),$D18/($C18-$B18+1)),0)</f>
        <v>0</v>
      </c>
      <c r="BE18" s="22" t="n">
        <f aca="false">IF(AND(BE$5&gt;=$B18,BE$5&lt;=$C18,$C18&gt;=$B18),IF($E18="Ramp",IF(RampWeightSum&gt;0,$D18*BE$20/RampWeightSum,0),$D18/($C18-$B18+1)),0)</f>
        <v>0</v>
      </c>
      <c r="BF18" s="22" t="n">
        <f aca="false">IF(AND(BF$5&gt;=$B18,BF$5&lt;=$C18,$C18&gt;=$B18),IF($E18="Ramp",IF(RampWeightSum&gt;0,$D18*BF$20/RampWeightSum,0),$D18/($C18-$B18+1)),0)</f>
        <v>0</v>
      </c>
      <c r="BG18" s="22" t="n">
        <f aca="false">IF(AND(BG$5&gt;=$B18,BG$5&lt;=$C18,$C18&gt;=$B18),IF($E18="Ramp",IF(RampWeightSum&gt;0,$D18*BG$20/RampWeightSum,0),$D18/($C18-$B18+1)),0)</f>
        <v>0</v>
      </c>
      <c r="BH18" s="22" t="n">
        <f aca="false">IF(AND(BH$5&gt;=$B18,BH$5&lt;=$C18,$C18&gt;=$B18),IF($E18="Ramp",IF(RampWeightSum&gt;0,$D18*BH$20/RampWeightSum,0),$D18/($C18-$B18+1)),0)</f>
        <v>0</v>
      </c>
      <c r="BI18" s="22" t="n">
        <f aca="false">IF(AND(BI$5&gt;=$B18,BI$5&lt;=$C18,$C18&gt;=$B18),IF($E18="Ramp",IF(RampWeightSum&gt;0,$D18*BI$20/RampWeightSum,0),$D18/($C18-$B18+1)),0)</f>
        <v>0</v>
      </c>
      <c r="BJ18" s="22" t="n">
        <f aca="false">IF(AND(BJ$5&gt;=$B18,BJ$5&lt;=$C18,$C18&gt;=$B18),IF($E18="Ramp",IF(RampWeightSum&gt;0,$D18*BJ$20/RampWeightSum,0),$D18/($C18-$B18+1)),0)</f>
        <v>0</v>
      </c>
      <c r="BK18" s="22" t="n">
        <f aca="false">IF(AND(BK$5&gt;=$B18,BK$5&lt;=$C18,$C18&gt;=$B18),IF($E18="Ramp",IF(RampWeightSum&gt;0,$D18*BK$20/RampWeightSum,0),$D18/($C18-$B18+1)),0)</f>
        <v>0</v>
      </c>
      <c r="BL18" s="22" t="n">
        <f aca="false">IF(AND(BL$5&gt;=$B18,BL$5&lt;=$C18,$C18&gt;=$B18),IF($E18="Ramp",IF(RampWeightSum&gt;0,$D18*BL$20/RampWeightSum,0),$D18/($C18-$B18+1)),0)</f>
        <v>0</v>
      </c>
      <c r="BM18" s="22" t="n">
        <f aca="false">IF(AND(BM$5&gt;=$B18,BM$5&lt;=$C18,$C18&gt;=$B18),IF($E18="Ramp",IF(RampWeightSum&gt;0,$D18*BM$20/RampWeightSum,0),$D18/($C18-$B18+1)),0)</f>
        <v>0</v>
      </c>
      <c r="BN18" s="22" t="n">
        <f aca="false">IF(AND(BN$5&gt;=$B18,BN$5&lt;=$C18,$C18&gt;=$B18),IF($E18="Ramp",IF(RampWeightSum&gt;0,$D18*BN$20/RampWeightSum,0),$D18/($C18-$B18+1)),0)</f>
        <v>0</v>
      </c>
      <c r="BO18" s="22" t="n">
        <f aca="false">IF(AND(BO$5&gt;=$B18,BO$5&lt;=$C18,$C18&gt;=$B18),IF($E18="Ramp",IF(RampWeightSum&gt;0,$D18*BO$20/RampWeightSum,0),$D18/($C18-$B18+1)),0)</f>
        <v>0</v>
      </c>
      <c r="BP18" s="22" t="n">
        <f aca="false">IF(AND(BP$5&gt;=$B18,BP$5&lt;=$C18,$C18&gt;=$B18),IF($E18="Ramp",IF(RampWeightSum&gt;0,$D18*BP$20/RampWeightSum,0),$D18/($C18-$B18+1)),0)</f>
        <v>0</v>
      </c>
      <c r="BQ18" s="22" t="n">
        <f aca="false">IF(AND(BQ$5&gt;=$B18,BQ$5&lt;=$C18,$C18&gt;=$B18),IF($E18="Ramp",IF(RampWeightSum&gt;0,$D18*BQ$20/RampWeightSum,0),$D18/($C18-$B18+1)),0)</f>
        <v>0</v>
      </c>
      <c r="BR18" s="22" t="n">
        <f aca="false">IF(AND(BR$5&gt;=$B18,BR$5&lt;=$C18,$C18&gt;=$B18),IF($E18="Ramp",IF(RampWeightSum&gt;0,$D18*BR$20/RampWeightSum,0),$D18/($C18-$B18+1)),0)</f>
        <v>0</v>
      </c>
      <c r="BS18" s="22" t="n">
        <f aca="false">IF(AND(BS$5&gt;=$B18,BS$5&lt;=$C18,$C18&gt;=$B18),IF($E18="Ramp",IF(RampWeightSum&gt;0,$D18*BS$20/RampWeightSum,0),$D18/($C18-$B18+1)),0)</f>
        <v>0</v>
      </c>
      <c r="BT18" s="22" t="n">
        <f aca="false">IF(AND(BT$5&gt;=$B18,BT$5&lt;=$C18,$C18&gt;=$B18),IF($E18="Ramp",IF(RampWeightSum&gt;0,$D18*BT$20/RampWeightSum,0),$D18/($C18-$B18+1)),0)</f>
        <v>0</v>
      </c>
      <c r="BU18" s="22" t="n">
        <f aca="false">IF(AND(BU$5&gt;=$B18,BU$5&lt;=$C18,$C18&gt;=$B18),IF($E18="Ramp",IF(RampWeightSum&gt;0,$D18*BU$20/RampWeightSum,0),$D18/($C18-$B18+1)),0)</f>
        <v>0</v>
      </c>
      <c r="BV18" s="22" t="n">
        <f aca="false">IF(AND(BV$5&gt;=$B18,BV$5&lt;=$C18,$C18&gt;=$B18),IF($E18="Ramp",IF(RampWeightSum&gt;0,$D18*BV$20/RampWeightSum,0),$D18/($C18-$B18+1)),0)</f>
        <v>0</v>
      </c>
      <c r="BW18" s="22" t="n">
        <f aca="false">IF(AND(BW$5&gt;=$B18,BW$5&lt;=$C18,$C18&gt;=$B18),IF($E18="Ramp",IF(RampWeightSum&gt;0,$D18*BW$20/RampWeightSum,0),$D18/($C18-$B18+1)),0)</f>
        <v>0</v>
      </c>
      <c r="BX18" s="22" t="n">
        <f aca="false">IF(AND(BX$5&gt;=$B18,BX$5&lt;=$C18,$C18&gt;=$B18),IF($E18="Ramp",IF(RampWeightSum&gt;0,$D18*BX$20/RampWeightSum,0),$D18/($C18-$B18+1)),0)</f>
        <v>0</v>
      </c>
      <c r="BY18" s="22" t="n">
        <f aca="false">IF(AND(BY$5&gt;=$B18,BY$5&lt;=$C18,$C18&gt;=$B18),IF($E18="Ramp",IF(RampWeightSum&gt;0,$D18*BY$20/RampWeightSum,0),$D18/($C18-$B18+1)),0)</f>
        <v>0</v>
      </c>
      <c r="BZ18" s="22" t="n">
        <f aca="false">IF(AND(BZ$5&gt;=$B18,BZ$5&lt;=$C18,$C18&gt;=$B18),IF($E18="Ramp",IF(RampWeightSum&gt;0,$D18*BZ$20/RampWeightSum,0),$D18/($C18-$B18+1)),0)</f>
        <v>0</v>
      </c>
      <c r="CA18" s="22" t="n">
        <f aca="false">IF(AND(CA$5&gt;=$B18,CA$5&lt;=$C18,$C18&gt;=$B18),IF($E18="Ramp",IF(RampWeightSum&gt;0,$D18*CA$20/RampWeightSum,0),$D18/($C18-$B18+1)),0)</f>
        <v>0</v>
      </c>
      <c r="CB18" s="22" t="n">
        <f aca="false">IF(AND(CB$5&gt;=$B18,CB$5&lt;=$C18,$C18&gt;=$B18),IF($E18="Ramp",IF(RampWeightSum&gt;0,$D18*CB$20/RampWeightSum,0),$D18/($C18-$B18+1)),0)</f>
        <v>0</v>
      </c>
      <c r="CC18" s="22" t="n">
        <f aca="false">IF(AND(CC$5&gt;=$B18,CC$5&lt;=$C18,$C18&gt;=$B18),IF($E18="Ramp",IF(RampWeightSum&gt;0,$D18*CC$20/RampWeightSum,0),$D18/($C18-$B18+1)),0)</f>
        <v>0</v>
      </c>
      <c r="CD18" s="22" t="n">
        <f aca="false">IF(AND(CD$5&gt;=$B18,CD$5&lt;=$C18,$C18&gt;=$B18),IF($E18="Ramp",IF(RampWeightSum&gt;0,$D18*CD$20/RampWeightSum,0),$D18/($C18-$B18+1)),0)</f>
        <v>0</v>
      </c>
      <c r="CE18" s="22" t="n">
        <f aca="false">IF(AND(CE$5&gt;=$B18,CE$5&lt;=$C18,$C18&gt;=$B18),IF($E18="Ramp",IF(RampWeightSum&gt;0,$D18*CE$20/RampWeightSum,0),$D18/($C18-$B18+1)),0)</f>
        <v>0</v>
      </c>
      <c r="CF18" s="22" t="n">
        <f aca="false">IF(AND(CF$5&gt;=$B18,CF$5&lt;=$C18,$C18&gt;=$B18),IF($E18="Ramp",IF(RampWeightSum&gt;0,$D18*CF$20/RampWeightSum,0),$D18/($C18-$B18+1)),0)</f>
        <v>0</v>
      </c>
      <c r="CG18" s="22" t="n">
        <f aca="false">IF(AND(CG$5&gt;=$B18,CG$5&lt;=$C18,$C18&gt;=$B18),IF($E18="Ramp",IF(RampWeightSum&gt;0,$D18*CG$20/RampWeightSum,0),$D18/($C18-$B18+1)),0)</f>
        <v>0</v>
      </c>
      <c r="CH18" s="22" t="n">
        <f aca="false">IF(AND(CH$5&gt;=$B18,CH$5&lt;=$C18,$C18&gt;=$B18),IF($E18="Ramp",IF(RampWeightSum&gt;0,$D18*CH$20/RampWeightSum,0),$D18/($C18-$B18+1)),0)</f>
        <v>0</v>
      </c>
      <c r="CI18" s="22" t="n">
        <f aca="false">IF(AND(CI$5&gt;=$B18,CI$5&lt;=$C18,$C18&gt;=$B18),IF($E18="Ramp",IF(RampWeightSum&gt;0,$D18*CI$20/RampWeightSum,0),$D18/($C18-$B18+1)),0)</f>
        <v>0</v>
      </c>
      <c r="CJ18" s="22" t="n">
        <f aca="false">IF(AND(CJ$5&gt;=$B18,CJ$5&lt;=$C18,$C18&gt;=$B18),IF($E18="Ramp",IF(RampWeightSum&gt;0,$D18*CJ$20/RampWeightSum,0),$D18/($C18-$B18+1)),0)</f>
        <v>0</v>
      </c>
      <c r="CK18" s="22" t="n">
        <f aca="false">IF(AND(CK$5&gt;=$B18,CK$5&lt;=$C18,$C18&gt;=$B18),IF($E18="Ramp",IF(RampWeightSum&gt;0,$D18*CK$20/RampWeightSum,0),$D18/($C18-$B18+1)),0)</f>
        <v>0</v>
      </c>
      <c r="CL18" s="22" t="n">
        <f aca="false">IF(AND(CL$5&gt;=$B18,CL$5&lt;=$C18,$C18&gt;=$B18),IF($E18="Ramp",IF(RampWeightSum&gt;0,$D18*CL$20/RampWeightSum,0),$D18/($C18-$B18+1)),0)</f>
        <v>0</v>
      </c>
      <c r="CM18" s="22" t="n">
        <f aca="false">IF(AND(CM$5&gt;=$B18,CM$5&lt;=$C18,$C18&gt;=$B18),IF($E18="Ramp",IF(RampWeightSum&gt;0,$D18*CM$20/RampWeightSum,0),$D18/($C18-$B18+1)),0)</f>
        <v>0</v>
      </c>
      <c r="CN18" s="22" t="n">
        <f aca="false">IF(AND(CN$5&gt;=$B18,CN$5&lt;=$C18,$C18&gt;=$B18),IF($E18="Ramp",IF(RampWeightSum&gt;0,$D18*CN$20/RampWeightSum,0),$D18/($C18-$B18+1)),0)</f>
        <v>0</v>
      </c>
      <c r="CO18" s="22" t="n">
        <f aca="false">IF(AND(CO$5&gt;=$B18,CO$5&lt;=$C18,$C18&gt;=$B18),IF($E18="Ramp",IF(RampWeightSum&gt;0,$D18*CO$20/RampWeightSum,0),$D18/($C18-$B18+1)),0)</f>
        <v>0</v>
      </c>
      <c r="CP18" s="22" t="n">
        <f aca="false">IF(AND(CP$5&gt;=$B18,CP$5&lt;=$C18,$C18&gt;=$B18),IF($E18="Ramp",IF(RampWeightSum&gt;0,$D18*CP$20/RampWeightSum,0),$D18/($C18-$B18+1)),0)</f>
        <v>0</v>
      </c>
      <c r="CQ18" s="22" t="n">
        <f aca="false">IF(AND(CQ$5&gt;=$B18,CQ$5&lt;=$C18,$C18&gt;=$B18),IF($E18="Ramp",IF(RampWeightSum&gt;0,$D18*CQ$20/RampWeightSum,0),$D18/($C18-$B18+1)),0)</f>
        <v>0</v>
      </c>
      <c r="CR18" s="22" t="n">
        <f aca="false">IF(AND(CR$5&gt;=$B18,CR$5&lt;=$C18,$C18&gt;=$B18),IF($E18="Ramp",IF(RampWeightSum&gt;0,$D18*CR$20/RampWeightSum,0),$D18/($C18-$B18+1)),0)</f>
        <v>0</v>
      </c>
      <c r="CS18" s="22" t="n">
        <f aca="false">IF(AND(CS$5&gt;=$B18,CS$5&lt;=$C18,$C18&gt;=$B18),IF($E18="Ramp",IF(RampWeightSum&gt;0,$D18*CS$20/RampWeightSum,0),$D18/($C18-$B18+1)),0)</f>
        <v>0</v>
      </c>
      <c r="CT18" s="22" t="n">
        <f aca="false">IF(AND(CT$5&gt;=$B18,CT$5&lt;=$C18,$C18&gt;=$B18),IF($E18="Ramp",IF(RampWeightSum&gt;0,$D18*CT$20/RampWeightSum,0),$D18/($C18-$B18+1)),0)</f>
        <v>0</v>
      </c>
      <c r="CU18" s="22" t="n">
        <f aca="false">IF(AND(CU$5&gt;=$B18,CU$5&lt;=$C18,$C18&gt;=$B18),IF($E18="Ramp",IF(RampWeightSum&gt;0,$D18*CU$20/RampWeightSum,0),$D18/($C18-$B18+1)),0)</f>
        <v>0</v>
      </c>
      <c r="CV18" s="22" t="n">
        <f aca="false">IF(AND(CV$5&gt;=$B18,CV$5&lt;=$C18,$C18&gt;=$B18),IF($E18="Ramp",IF(RampWeightSum&gt;0,$D18*CV$20/RampWeightSum,0),$D18/($C18-$B18+1)),0)</f>
        <v>0</v>
      </c>
      <c r="CW18" s="22" t="n">
        <f aca="false">IF(AND(CW$5&gt;=$B18,CW$5&lt;=$C18,$C18&gt;=$B18),IF($E18="Ramp",IF(RampWeightSum&gt;0,$D18*CW$20/RampWeightSum,0),$D18/($C18-$B18+1)),0)</f>
        <v>0</v>
      </c>
      <c r="CX18" s="22" t="n">
        <f aca="false">IF(AND(CX$5&gt;=$B18,CX$5&lt;=$C18,$C18&gt;=$B18),IF($E18="Ramp",IF(RampWeightSum&gt;0,$D18*CX$20/RampWeightSum,0),$D18/($C18-$B18+1)),0)</f>
        <v>0</v>
      </c>
      <c r="CY18" s="22" t="n">
        <f aca="false">IF(AND(CY$5&gt;=$B18,CY$5&lt;=$C18,$C18&gt;=$B18),IF($E18="Ramp",IF(RampWeightSum&gt;0,$D18*CY$20/RampWeightSum,0),$D18/($C18-$B18+1)),0)</f>
        <v>0</v>
      </c>
      <c r="CZ18" s="22" t="n">
        <f aca="false">IF(AND(CZ$5&gt;=$B18,CZ$5&lt;=$C18,$C18&gt;=$B18),IF($E18="Ramp",IF(RampWeightSum&gt;0,$D18*CZ$20/RampWeightSum,0),$D18/($C18-$B18+1)),0)</f>
        <v>0</v>
      </c>
      <c r="DA18" s="22" t="n">
        <f aca="false">IF(AND(DA$5&gt;=$B18,DA$5&lt;=$C18,$C18&gt;=$B18),IF($E18="Ramp",IF(RampWeightSum&gt;0,$D18*DA$20/RampWeightSum,0),$D18/($C18-$B18+1)),0)</f>
        <v>0</v>
      </c>
      <c r="DB18" s="22" t="n">
        <f aca="false">IF(AND(DB$5&gt;=$B18,DB$5&lt;=$C18,$C18&gt;=$B18),IF($E18="Ramp",IF(RampWeightSum&gt;0,$D18*DB$20/RampWeightSum,0),$D18/($C18-$B18+1)),0)</f>
        <v>0</v>
      </c>
      <c r="DC18" s="22" t="n">
        <f aca="false">IF(AND(DC$5&gt;=$B18,DC$5&lt;=$C18,$C18&gt;=$B18),IF($E18="Ramp",IF(RampWeightSum&gt;0,$D18*DC$20/RampWeightSum,0),$D18/($C18-$B18+1)),0)</f>
        <v>0</v>
      </c>
      <c r="DD18" s="22" t="n">
        <f aca="false">IF(AND(DD$5&gt;=$B18,DD$5&lt;=$C18,$C18&gt;=$B18),IF($E18="Ramp",IF(RampWeightSum&gt;0,$D18*DD$20/RampWeightSum,0),$D18/($C18-$B18+1)),0)</f>
        <v>0</v>
      </c>
      <c r="DE18" s="22" t="n">
        <f aca="false">IF(AND(DE$5&gt;=$B18,DE$5&lt;=$C18,$C18&gt;=$B18),IF($E18="Ramp",IF(RampWeightSum&gt;0,$D18*DE$20/RampWeightSum,0),$D18/($C18-$B18+1)),0)</f>
        <v>0</v>
      </c>
    </row>
    <row r="19" customFormat="false" ht="15" hidden="false" customHeight="false" outlineLevel="0" collapsed="false">
      <c r="A19" s="26" t="s">
        <v>582</v>
      </c>
      <c r="B19" s="2"/>
      <c r="C19" s="2"/>
      <c r="D19" s="2"/>
      <c r="E19" s="2"/>
      <c r="F19" s="27" t="n">
        <f aca="false">SUM(F8:F18)</f>
        <v>155.5</v>
      </c>
      <c r="G19" s="27" t="n">
        <f aca="false">SUM(G8:G18)</f>
        <v>155.5</v>
      </c>
      <c r="H19" s="27" t="n">
        <f aca="false">SUM(H8:H18)</f>
        <v>155.5</v>
      </c>
      <c r="I19" s="27" t="n">
        <f aca="false">SUM(I8:I18)</f>
        <v>219.5</v>
      </c>
      <c r="J19" s="27" t="n">
        <f aca="false">SUM(J8:J18)</f>
        <v>219.5</v>
      </c>
      <c r="K19" s="27" t="n">
        <f aca="false">SUM(K8:K18)</f>
        <v>155.5</v>
      </c>
      <c r="L19" s="27" t="n">
        <f aca="false">SUM(L8:L18)</f>
        <v>238.161666666667</v>
      </c>
      <c r="M19" s="27" t="n">
        <f aca="false">SUM(M8:M18)</f>
        <v>238.161666666667</v>
      </c>
      <c r="N19" s="27" t="n">
        <f aca="false">SUM(N8:N18)</f>
        <v>349.336121046262</v>
      </c>
      <c r="O19" s="27" t="n">
        <f aca="false">SUM(O8:O18)</f>
        <v>440.610575425858</v>
      </c>
      <c r="P19" s="27" t="n">
        <f aca="false">SUM(P8:P18)</f>
        <v>619.504077424501</v>
      </c>
      <c r="Q19" s="27" t="n">
        <f aca="false">SUM(Q8:Q18)</f>
        <v>710.778531804097</v>
      </c>
      <c r="R19" s="27" t="n">
        <f aca="false">SUM(R8:R18)</f>
        <v>748.960349985915</v>
      </c>
      <c r="S19" s="27" t="n">
        <f aca="false">SUM(S8:S18)</f>
        <v>748.960349985915</v>
      </c>
      <c r="T19" s="27" t="n">
        <f aca="false">SUM(T8:T18)</f>
        <v>748.960349985915</v>
      </c>
      <c r="U19" s="27" t="n">
        <f aca="false">SUM(U8:U18)</f>
        <v>748.960349985915</v>
      </c>
      <c r="V19" s="27" t="n">
        <f aca="false">SUM(V8:V18)</f>
        <v>748.960349985915</v>
      </c>
      <c r="W19" s="27" t="n">
        <f aca="false">SUM(W8:W18)</f>
        <v>748.960349985915</v>
      </c>
      <c r="X19" s="27" t="n">
        <f aca="false">SUM(X8:X18)</f>
        <v>550.798683319248</v>
      </c>
      <c r="Y19" s="27" t="n">
        <f aca="false">SUM(Y8:Y18)</f>
        <v>550.798683319248</v>
      </c>
      <c r="Z19" s="27" t="n">
        <f aca="false">SUM(Z8:Z18)</f>
        <v>550.798683319248</v>
      </c>
      <c r="AA19" s="27" t="n">
        <f aca="false">SUM(AA8:AA18)</f>
        <v>550.798683319248</v>
      </c>
      <c r="AB19" s="27" t="n">
        <f aca="false">SUM(AB8:AB18)</f>
        <v>550.798683319248</v>
      </c>
      <c r="AC19" s="27" t="n">
        <f aca="false">SUM(AC8:AC18)</f>
        <v>550.798683319248</v>
      </c>
      <c r="AD19" s="27" t="n">
        <f aca="false">SUM(AD8:AD18)</f>
        <v>550.798683319248</v>
      </c>
      <c r="AE19" s="27" t="n">
        <f aca="false">SUM(AE8:AE18)</f>
        <v>459.524228939653</v>
      </c>
      <c r="AF19" s="27" t="n">
        <f aca="false">SUM(AF8:AF18)</f>
        <v>400.249774560057</v>
      </c>
      <c r="AG19" s="27" t="n">
        <f aca="false">SUM(AG8:AG18)</f>
        <v>308.975320180461</v>
      </c>
      <c r="AH19" s="27" t="n">
        <f aca="false">SUM(AH8:AH18)</f>
        <v>211.300865800866</v>
      </c>
      <c r="AI19" s="27" t="n">
        <f aca="false">SUM(AI8:AI18)</f>
        <v>211.300865800866</v>
      </c>
      <c r="AJ19" s="27" t="n">
        <f aca="false">SUM(AJ8:AJ18)</f>
        <v>211.300865800866</v>
      </c>
      <c r="AK19" s="27" t="n">
        <f aca="false">SUM(AK8:AK18)</f>
        <v>123.681818181818</v>
      </c>
      <c r="AL19" s="27" t="n">
        <f aca="false">SUM(AL8:AL18)</f>
        <v>123.681818181818</v>
      </c>
      <c r="AM19" s="27" t="n">
        <f aca="false">SUM(AM8:AM18)</f>
        <v>123.681818181818</v>
      </c>
      <c r="AN19" s="27" t="n">
        <f aca="false">SUM(AN8:AN18)</f>
        <v>72</v>
      </c>
      <c r="AO19" s="27" t="n">
        <f aca="false">SUM(AO8:AO18)</f>
        <v>72</v>
      </c>
      <c r="AP19" s="27" t="n">
        <f aca="false">SUM(AP8:AP18)</f>
        <v>0</v>
      </c>
      <c r="AQ19" s="27" t="n">
        <f aca="false">SUM(AQ8:AQ18)</f>
        <v>0</v>
      </c>
      <c r="AR19" s="27" t="n">
        <f aca="false">SUM(AR8:AR18)</f>
        <v>0</v>
      </c>
      <c r="AS19" s="27" t="n">
        <f aca="false">SUM(AS8:AS18)</f>
        <v>0</v>
      </c>
      <c r="AT19" s="27" t="n">
        <f aca="false">SUM(AT8:AT18)</f>
        <v>0</v>
      </c>
      <c r="AU19" s="27" t="n">
        <f aca="false">SUM(AU8:AU18)</f>
        <v>0</v>
      </c>
      <c r="AV19" s="27" t="n">
        <f aca="false">SUM(AV8:AV18)</f>
        <v>0</v>
      </c>
      <c r="AW19" s="27" t="n">
        <f aca="false">SUM(AW8:AW18)</f>
        <v>0</v>
      </c>
      <c r="AX19" s="27" t="n">
        <f aca="false">SUM(AX8:AX18)</f>
        <v>0</v>
      </c>
      <c r="AY19" s="27" t="n">
        <f aca="false">SUM(AY8:AY18)</f>
        <v>0</v>
      </c>
      <c r="AZ19" s="27" t="n">
        <f aca="false">SUM(AZ8:AZ18)</f>
        <v>0</v>
      </c>
      <c r="BA19" s="27" t="n">
        <f aca="false">SUM(BA8:BA18)</f>
        <v>0</v>
      </c>
      <c r="BB19" s="27" t="n">
        <f aca="false">SUM(BB8:BB18)</f>
        <v>0</v>
      </c>
      <c r="BC19" s="27" t="n">
        <f aca="false">SUM(BC8:BC18)</f>
        <v>0</v>
      </c>
      <c r="BD19" s="27" t="n">
        <f aca="false">SUM(BD8:BD18)</f>
        <v>0</v>
      </c>
      <c r="BE19" s="27" t="n">
        <f aca="false">SUM(BE8:BE18)</f>
        <v>0</v>
      </c>
      <c r="BF19" s="27" t="n">
        <f aca="false">SUM(BF8:BF18)</f>
        <v>0</v>
      </c>
      <c r="BG19" s="27" t="n">
        <f aca="false">SUM(BG8:BG18)</f>
        <v>0</v>
      </c>
      <c r="BH19" s="27" t="n">
        <f aca="false">SUM(BH8:BH18)</f>
        <v>0</v>
      </c>
      <c r="BI19" s="27" t="n">
        <f aca="false">SUM(BI8:BI18)</f>
        <v>0</v>
      </c>
      <c r="BJ19" s="27" t="n">
        <f aca="false">SUM(BJ8:BJ18)</f>
        <v>0</v>
      </c>
      <c r="BK19" s="27" t="n">
        <f aca="false">SUM(BK8:BK18)</f>
        <v>0</v>
      </c>
      <c r="BL19" s="27" t="n">
        <f aca="false">SUM(BL8:BL18)</f>
        <v>0</v>
      </c>
      <c r="BM19" s="27" t="n">
        <f aca="false">SUM(BM8:BM18)</f>
        <v>0</v>
      </c>
      <c r="BN19" s="27" t="n">
        <f aca="false">SUM(BN8:BN18)</f>
        <v>0</v>
      </c>
      <c r="BO19" s="27" t="n">
        <f aca="false">SUM(BO8:BO18)</f>
        <v>0</v>
      </c>
      <c r="BP19" s="27" t="n">
        <f aca="false">SUM(BP8:BP18)</f>
        <v>0</v>
      </c>
      <c r="BQ19" s="27" t="n">
        <f aca="false">SUM(BQ8:BQ18)</f>
        <v>0</v>
      </c>
      <c r="BR19" s="27" t="n">
        <f aca="false">SUM(BR8:BR18)</f>
        <v>0</v>
      </c>
      <c r="BS19" s="27" t="n">
        <f aca="false">SUM(BS8:BS18)</f>
        <v>0</v>
      </c>
      <c r="BT19" s="27" t="n">
        <f aca="false">SUM(BT8:BT18)</f>
        <v>0</v>
      </c>
      <c r="BU19" s="27" t="n">
        <f aca="false">SUM(BU8:BU18)</f>
        <v>0</v>
      </c>
      <c r="BV19" s="27" t="n">
        <f aca="false">SUM(BV8:BV18)</f>
        <v>0</v>
      </c>
      <c r="BW19" s="27" t="n">
        <f aca="false">SUM(BW8:BW18)</f>
        <v>0</v>
      </c>
      <c r="BX19" s="27" t="n">
        <f aca="false">SUM(BX8:BX18)</f>
        <v>0</v>
      </c>
      <c r="BY19" s="27" t="n">
        <f aca="false">SUM(BY8:BY18)</f>
        <v>0</v>
      </c>
      <c r="BZ19" s="27" t="n">
        <f aca="false">SUM(BZ8:BZ18)</f>
        <v>0</v>
      </c>
      <c r="CA19" s="27" t="n">
        <f aca="false">SUM(CA8:CA18)</f>
        <v>0</v>
      </c>
      <c r="CB19" s="27" t="n">
        <f aca="false">SUM(CB8:CB18)</f>
        <v>0</v>
      </c>
      <c r="CC19" s="27" t="n">
        <f aca="false">SUM(CC8:CC18)</f>
        <v>0</v>
      </c>
      <c r="CD19" s="27" t="n">
        <f aca="false">SUM(CD8:CD18)</f>
        <v>0</v>
      </c>
      <c r="CE19" s="27" t="n">
        <f aca="false">SUM(CE8:CE18)</f>
        <v>0</v>
      </c>
      <c r="CF19" s="27" t="n">
        <f aca="false">SUM(CF8:CF18)</f>
        <v>0</v>
      </c>
      <c r="CG19" s="27" t="n">
        <f aca="false">SUM(CG8:CG18)</f>
        <v>0</v>
      </c>
      <c r="CH19" s="27" t="n">
        <f aca="false">SUM(CH8:CH18)</f>
        <v>0</v>
      </c>
      <c r="CI19" s="27" t="n">
        <f aca="false">SUM(CI8:CI18)</f>
        <v>0</v>
      </c>
      <c r="CJ19" s="27" t="n">
        <f aca="false">SUM(CJ8:CJ18)</f>
        <v>0</v>
      </c>
      <c r="CK19" s="27" t="n">
        <f aca="false">SUM(CK8:CK18)</f>
        <v>0</v>
      </c>
      <c r="CL19" s="27" t="n">
        <f aca="false">SUM(CL8:CL18)</f>
        <v>0</v>
      </c>
      <c r="CM19" s="27" t="n">
        <f aca="false">SUM(CM8:CM18)</f>
        <v>0</v>
      </c>
      <c r="CN19" s="27" t="n">
        <f aca="false">SUM(CN8:CN18)</f>
        <v>0</v>
      </c>
      <c r="CO19" s="27" t="n">
        <f aca="false">SUM(CO8:CO18)</f>
        <v>0</v>
      </c>
      <c r="CP19" s="27" t="n">
        <f aca="false">SUM(CP8:CP18)</f>
        <v>0</v>
      </c>
      <c r="CQ19" s="27" t="n">
        <f aca="false">SUM(CQ8:CQ18)</f>
        <v>0</v>
      </c>
      <c r="CR19" s="27" t="n">
        <f aca="false">SUM(CR8:CR18)</f>
        <v>0</v>
      </c>
      <c r="CS19" s="27" t="n">
        <f aca="false">SUM(CS8:CS18)</f>
        <v>0</v>
      </c>
      <c r="CT19" s="27" t="n">
        <f aca="false">SUM(CT8:CT18)</f>
        <v>0</v>
      </c>
      <c r="CU19" s="27" t="n">
        <f aca="false">SUM(CU8:CU18)</f>
        <v>0</v>
      </c>
      <c r="CV19" s="27" t="n">
        <f aca="false">SUM(CV8:CV18)</f>
        <v>0</v>
      </c>
      <c r="CW19" s="27" t="n">
        <f aca="false">SUM(CW8:CW18)</f>
        <v>0</v>
      </c>
      <c r="CX19" s="27" t="n">
        <f aca="false">SUM(CX8:CX18)</f>
        <v>0</v>
      </c>
      <c r="CY19" s="27" t="n">
        <f aca="false">SUM(CY8:CY18)</f>
        <v>0</v>
      </c>
      <c r="CZ19" s="27" t="n">
        <f aca="false">SUM(CZ8:CZ18)</f>
        <v>0</v>
      </c>
      <c r="DA19" s="27" t="n">
        <f aca="false">SUM(DA8:DA18)</f>
        <v>0</v>
      </c>
      <c r="DB19" s="27" t="n">
        <f aca="false">SUM(DB8:DB18)</f>
        <v>0</v>
      </c>
      <c r="DC19" s="27" t="n">
        <f aca="false">SUM(DC8:DC18)</f>
        <v>0</v>
      </c>
      <c r="DD19" s="27" t="n">
        <f aca="false">SUM(DD8:DD18)</f>
        <v>0</v>
      </c>
      <c r="DE19" s="27" t="n">
        <f aca="false">SUM(DE8:DE18)</f>
        <v>0</v>
      </c>
    </row>
    <row r="20" customFormat="false" ht="15" hidden="false" customHeight="false" outlineLevel="0" collapsed="false">
      <c r="A20" s="3" t="s">
        <v>583</v>
      </c>
      <c r="B20" s="2"/>
      <c r="C20" s="2"/>
      <c r="D20" s="57" t="n">
        <f aca="false">SUM(F20:DE20)</f>
        <v>17</v>
      </c>
      <c r="E20" s="2"/>
      <c r="F20" s="57" t="n">
        <f aca="false">IF(AND(F$5&gt;=RepStart,F$5&lt;=RepEnd),MIN(1,(F$5-RepStart+1)/(RampUp+1),(RepEnd-F$5+1)/(RampDown+1)),0)</f>
        <v>0</v>
      </c>
      <c r="G20" s="57" t="n">
        <f aca="false">IF(AND(G$5&gt;=RepStart,G$5&lt;=RepEnd),MIN(1,(G$5-RepStart+1)/(RampUp+1),(RepEnd-G$5+1)/(RampDown+1)),0)</f>
        <v>0</v>
      </c>
      <c r="H20" s="57" t="n">
        <f aca="false">IF(AND(H$5&gt;=RepStart,H$5&lt;=RepEnd),MIN(1,(H$5-RepStart+1)/(RampUp+1),(RepEnd-H$5+1)/(RampDown+1)),0)</f>
        <v>0</v>
      </c>
      <c r="I20" s="57" t="n">
        <f aca="false">IF(AND(I$5&gt;=RepStart,I$5&lt;=RepEnd),MIN(1,(I$5-RepStart+1)/(RampUp+1),(RepEnd-I$5+1)/(RampDown+1)),0)</f>
        <v>0</v>
      </c>
      <c r="J20" s="57" t="n">
        <f aca="false">IF(AND(J$5&gt;=RepStart,J$5&lt;=RepEnd),MIN(1,(J$5-RepStart+1)/(RampUp+1),(RepEnd-J$5+1)/(RampDown+1)),0)</f>
        <v>0</v>
      </c>
      <c r="K20" s="57" t="n">
        <f aca="false">IF(AND(K$5&gt;=RepStart,K$5&lt;=RepEnd),MIN(1,(K$5-RepStart+1)/(RampUp+1),(RepEnd-K$5+1)/(RampDown+1)),0)</f>
        <v>0</v>
      </c>
      <c r="L20" s="57" t="n">
        <f aca="false">IF(AND(L$5&gt;=RepStart,L$5&lt;=RepEnd),MIN(1,(L$5-RepStart+1)/(RampUp+1),(RepEnd-L$5+1)/(RampDown+1)),0)</f>
        <v>0</v>
      </c>
      <c r="M20" s="57" t="n">
        <f aca="false">IF(AND(M$5&gt;=RepStart,M$5&lt;=RepEnd),MIN(1,(M$5-RepStart+1)/(RampUp+1),(RepEnd-M$5+1)/(RampDown+1)),0)</f>
        <v>0</v>
      </c>
      <c r="N20" s="57" t="n">
        <f aca="false">IF(AND(N$5&gt;=RepStart,N$5&lt;=RepEnd),MIN(1,(N$5-RepStart+1)/(RampUp+1),(RepEnd-N$5+1)/(RampDown+1)),0)</f>
        <v>0.25</v>
      </c>
      <c r="O20" s="57" t="n">
        <f aca="false">IF(AND(O$5&gt;=RepStart,O$5&lt;=RepEnd),MIN(1,(O$5-RepStart+1)/(RampUp+1),(RepEnd-O$5+1)/(RampDown+1)),0)</f>
        <v>0.5</v>
      </c>
      <c r="P20" s="57" t="n">
        <f aca="false">IF(AND(P$5&gt;=RepStart,P$5&lt;=RepEnd),MIN(1,(P$5-RepStart+1)/(RampUp+1),(RepEnd-P$5+1)/(RampDown+1)),0)</f>
        <v>0.75</v>
      </c>
      <c r="Q20" s="57" t="n">
        <f aca="false">IF(AND(Q$5&gt;=RepStart,Q$5&lt;=RepEnd),MIN(1,(Q$5-RepStart+1)/(RampUp+1),(RepEnd-Q$5+1)/(RampDown+1)),0)</f>
        <v>1</v>
      </c>
      <c r="R20" s="57" t="n">
        <f aca="false">IF(AND(R$5&gt;=RepStart,R$5&lt;=RepEnd),MIN(1,(R$5-RepStart+1)/(RampUp+1),(RepEnd-R$5+1)/(RampDown+1)),0)</f>
        <v>1</v>
      </c>
      <c r="S20" s="57" t="n">
        <f aca="false">IF(AND(S$5&gt;=RepStart,S$5&lt;=RepEnd),MIN(1,(S$5-RepStart+1)/(RampUp+1),(RepEnd-S$5+1)/(RampDown+1)),0)</f>
        <v>1</v>
      </c>
      <c r="T20" s="57" t="n">
        <f aca="false">IF(AND(T$5&gt;=RepStart,T$5&lt;=RepEnd),MIN(1,(T$5-RepStart+1)/(RampUp+1),(RepEnd-T$5+1)/(RampDown+1)),0)</f>
        <v>1</v>
      </c>
      <c r="U20" s="57" t="n">
        <f aca="false">IF(AND(U$5&gt;=RepStart,U$5&lt;=RepEnd),MIN(1,(U$5-RepStart+1)/(RampUp+1),(RepEnd-U$5+1)/(RampDown+1)),0)</f>
        <v>1</v>
      </c>
      <c r="V20" s="57" t="n">
        <f aca="false">IF(AND(V$5&gt;=RepStart,V$5&lt;=RepEnd),MIN(1,(V$5-RepStart+1)/(RampUp+1),(RepEnd-V$5+1)/(RampDown+1)),0)</f>
        <v>1</v>
      </c>
      <c r="W20" s="57" t="n">
        <f aca="false">IF(AND(W$5&gt;=RepStart,W$5&lt;=RepEnd),MIN(1,(W$5-RepStart+1)/(RampUp+1),(RepEnd-W$5+1)/(RampDown+1)),0)</f>
        <v>1</v>
      </c>
      <c r="X20" s="57" t="n">
        <f aca="false">IF(AND(X$5&gt;=RepStart,X$5&lt;=RepEnd),MIN(1,(X$5-RepStart+1)/(RampUp+1),(RepEnd-X$5+1)/(RampDown+1)),0)</f>
        <v>1</v>
      </c>
      <c r="Y20" s="57" t="n">
        <f aca="false">IF(AND(Y$5&gt;=RepStart,Y$5&lt;=RepEnd),MIN(1,(Y$5-RepStart+1)/(RampUp+1),(RepEnd-Y$5+1)/(RampDown+1)),0)</f>
        <v>1</v>
      </c>
      <c r="Z20" s="57" t="n">
        <f aca="false">IF(AND(Z$5&gt;=RepStart,Z$5&lt;=RepEnd),MIN(1,(Z$5-RepStart+1)/(RampUp+1),(RepEnd-Z$5+1)/(RampDown+1)),0)</f>
        <v>1</v>
      </c>
      <c r="AA20" s="57" t="n">
        <f aca="false">IF(AND(AA$5&gt;=RepStart,AA$5&lt;=RepEnd),MIN(1,(AA$5-RepStart+1)/(RampUp+1),(RepEnd-AA$5+1)/(RampDown+1)),0)</f>
        <v>1</v>
      </c>
      <c r="AB20" s="57" t="n">
        <f aca="false">IF(AND(AB$5&gt;=RepStart,AB$5&lt;=RepEnd),MIN(1,(AB$5-RepStart+1)/(RampUp+1),(RepEnd-AB$5+1)/(RampDown+1)),0)</f>
        <v>1</v>
      </c>
      <c r="AC20" s="57" t="n">
        <f aca="false">IF(AND(AC$5&gt;=RepStart,AC$5&lt;=RepEnd),MIN(1,(AC$5-RepStart+1)/(RampUp+1),(RepEnd-AC$5+1)/(RampDown+1)),0)</f>
        <v>1</v>
      </c>
      <c r="AD20" s="57" t="n">
        <f aca="false">IF(AND(AD$5&gt;=RepStart,AD$5&lt;=RepEnd),MIN(1,(AD$5-RepStart+1)/(RampUp+1),(RepEnd-AD$5+1)/(RampDown+1)),0)</f>
        <v>1</v>
      </c>
      <c r="AE20" s="57" t="n">
        <f aca="false">IF(AND(AE$5&gt;=RepStart,AE$5&lt;=RepEnd),MIN(1,(AE$5-RepStart+1)/(RampUp+1),(RepEnd-AE$5+1)/(RampDown+1)),0)</f>
        <v>0.75</v>
      </c>
      <c r="AF20" s="57" t="n">
        <f aca="false">IF(AND(AF$5&gt;=RepStart,AF$5&lt;=RepEnd),MIN(1,(AF$5-RepStart+1)/(RampUp+1),(RepEnd-AF$5+1)/(RampDown+1)),0)</f>
        <v>0.5</v>
      </c>
      <c r="AG20" s="57" t="n">
        <f aca="false">IF(AND(AG$5&gt;=RepStart,AG$5&lt;=RepEnd),MIN(1,(AG$5-RepStart+1)/(RampUp+1),(RepEnd-AG$5+1)/(RampDown+1)),0)</f>
        <v>0.25</v>
      </c>
      <c r="AH20" s="57" t="n">
        <f aca="false">IF(AND(AH$5&gt;=RepStart,AH$5&lt;=RepEnd),MIN(1,(AH$5-RepStart+1)/(RampUp+1),(RepEnd-AH$5+1)/(RampDown+1)),0)</f>
        <v>0</v>
      </c>
      <c r="AI20" s="57" t="n">
        <f aca="false">IF(AND(AI$5&gt;=RepStart,AI$5&lt;=RepEnd),MIN(1,(AI$5-RepStart+1)/(RampUp+1),(RepEnd-AI$5+1)/(RampDown+1)),0)</f>
        <v>0</v>
      </c>
      <c r="AJ20" s="57" t="n">
        <f aca="false">IF(AND(AJ$5&gt;=RepStart,AJ$5&lt;=RepEnd),MIN(1,(AJ$5-RepStart+1)/(RampUp+1),(RepEnd-AJ$5+1)/(RampDown+1)),0)</f>
        <v>0</v>
      </c>
      <c r="AK20" s="57" t="n">
        <f aca="false">IF(AND(AK$5&gt;=RepStart,AK$5&lt;=RepEnd),MIN(1,(AK$5-RepStart+1)/(RampUp+1),(RepEnd-AK$5+1)/(RampDown+1)),0)</f>
        <v>0</v>
      </c>
      <c r="AL20" s="57" t="n">
        <f aca="false">IF(AND(AL$5&gt;=RepStart,AL$5&lt;=RepEnd),MIN(1,(AL$5-RepStart+1)/(RampUp+1),(RepEnd-AL$5+1)/(RampDown+1)),0)</f>
        <v>0</v>
      </c>
      <c r="AM20" s="57" t="n">
        <f aca="false">IF(AND(AM$5&gt;=RepStart,AM$5&lt;=RepEnd),MIN(1,(AM$5-RepStart+1)/(RampUp+1),(RepEnd-AM$5+1)/(RampDown+1)),0)</f>
        <v>0</v>
      </c>
      <c r="AN20" s="57" t="n">
        <f aca="false">IF(AND(AN$5&gt;=RepStart,AN$5&lt;=RepEnd),MIN(1,(AN$5-RepStart+1)/(RampUp+1),(RepEnd-AN$5+1)/(RampDown+1)),0)</f>
        <v>0</v>
      </c>
      <c r="AO20" s="57" t="n">
        <f aca="false">IF(AND(AO$5&gt;=RepStart,AO$5&lt;=RepEnd),MIN(1,(AO$5-RepStart+1)/(RampUp+1),(RepEnd-AO$5+1)/(RampDown+1)),0)</f>
        <v>0</v>
      </c>
      <c r="AP20" s="57" t="n">
        <f aca="false">IF(AND(AP$5&gt;=RepStart,AP$5&lt;=RepEnd),MIN(1,(AP$5-RepStart+1)/(RampUp+1),(RepEnd-AP$5+1)/(RampDown+1)),0)</f>
        <v>0</v>
      </c>
      <c r="AQ20" s="57" t="n">
        <f aca="false">IF(AND(AQ$5&gt;=RepStart,AQ$5&lt;=RepEnd),MIN(1,(AQ$5-RepStart+1)/(RampUp+1),(RepEnd-AQ$5+1)/(RampDown+1)),0)</f>
        <v>0</v>
      </c>
      <c r="AR20" s="57" t="n">
        <f aca="false">IF(AND(AR$5&gt;=RepStart,AR$5&lt;=RepEnd),MIN(1,(AR$5-RepStart+1)/(RampUp+1),(RepEnd-AR$5+1)/(RampDown+1)),0)</f>
        <v>0</v>
      </c>
      <c r="AS20" s="57" t="n">
        <f aca="false">IF(AND(AS$5&gt;=RepStart,AS$5&lt;=RepEnd),MIN(1,(AS$5-RepStart+1)/(RampUp+1),(RepEnd-AS$5+1)/(RampDown+1)),0)</f>
        <v>0</v>
      </c>
      <c r="AT20" s="57" t="n">
        <f aca="false">IF(AND(AT$5&gt;=RepStart,AT$5&lt;=RepEnd),MIN(1,(AT$5-RepStart+1)/(RampUp+1),(RepEnd-AT$5+1)/(RampDown+1)),0)</f>
        <v>0</v>
      </c>
      <c r="AU20" s="57" t="n">
        <f aca="false">IF(AND(AU$5&gt;=RepStart,AU$5&lt;=RepEnd),MIN(1,(AU$5-RepStart+1)/(RampUp+1),(RepEnd-AU$5+1)/(RampDown+1)),0)</f>
        <v>0</v>
      </c>
      <c r="AV20" s="57" t="n">
        <f aca="false">IF(AND(AV$5&gt;=RepStart,AV$5&lt;=RepEnd),MIN(1,(AV$5-RepStart+1)/(RampUp+1),(RepEnd-AV$5+1)/(RampDown+1)),0)</f>
        <v>0</v>
      </c>
      <c r="AW20" s="57" t="n">
        <f aca="false">IF(AND(AW$5&gt;=RepStart,AW$5&lt;=RepEnd),MIN(1,(AW$5-RepStart+1)/(RampUp+1),(RepEnd-AW$5+1)/(RampDown+1)),0)</f>
        <v>0</v>
      </c>
      <c r="AX20" s="57" t="n">
        <f aca="false">IF(AND(AX$5&gt;=RepStart,AX$5&lt;=RepEnd),MIN(1,(AX$5-RepStart+1)/(RampUp+1),(RepEnd-AX$5+1)/(RampDown+1)),0)</f>
        <v>0</v>
      </c>
      <c r="AY20" s="57" t="n">
        <f aca="false">IF(AND(AY$5&gt;=RepStart,AY$5&lt;=RepEnd),MIN(1,(AY$5-RepStart+1)/(RampUp+1),(RepEnd-AY$5+1)/(RampDown+1)),0)</f>
        <v>0</v>
      </c>
      <c r="AZ20" s="57" t="n">
        <f aca="false">IF(AND(AZ$5&gt;=RepStart,AZ$5&lt;=RepEnd),MIN(1,(AZ$5-RepStart+1)/(RampUp+1),(RepEnd-AZ$5+1)/(RampDown+1)),0)</f>
        <v>0</v>
      </c>
      <c r="BA20" s="57" t="n">
        <f aca="false">IF(AND(BA$5&gt;=RepStart,BA$5&lt;=RepEnd),MIN(1,(BA$5-RepStart+1)/(RampUp+1),(RepEnd-BA$5+1)/(RampDown+1)),0)</f>
        <v>0</v>
      </c>
      <c r="BB20" s="57" t="n">
        <f aca="false">IF(AND(BB$5&gt;=RepStart,BB$5&lt;=RepEnd),MIN(1,(BB$5-RepStart+1)/(RampUp+1),(RepEnd-BB$5+1)/(RampDown+1)),0)</f>
        <v>0</v>
      </c>
      <c r="BC20" s="57" t="n">
        <f aca="false">IF(AND(BC$5&gt;=RepStart,BC$5&lt;=RepEnd),MIN(1,(BC$5-RepStart+1)/(RampUp+1),(RepEnd-BC$5+1)/(RampDown+1)),0)</f>
        <v>0</v>
      </c>
      <c r="BD20" s="57" t="n">
        <f aca="false">IF(AND(BD$5&gt;=RepStart,BD$5&lt;=RepEnd),MIN(1,(BD$5-RepStart+1)/(RampUp+1),(RepEnd-BD$5+1)/(RampDown+1)),0)</f>
        <v>0</v>
      </c>
      <c r="BE20" s="57" t="n">
        <f aca="false">IF(AND(BE$5&gt;=RepStart,BE$5&lt;=RepEnd),MIN(1,(BE$5-RepStart+1)/(RampUp+1),(RepEnd-BE$5+1)/(RampDown+1)),0)</f>
        <v>0</v>
      </c>
      <c r="BF20" s="57" t="n">
        <f aca="false">IF(AND(BF$5&gt;=RepStart,BF$5&lt;=RepEnd),MIN(1,(BF$5-RepStart+1)/(RampUp+1),(RepEnd-BF$5+1)/(RampDown+1)),0)</f>
        <v>0</v>
      </c>
      <c r="BG20" s="57" t="n">
        <f aca="false">IF(AND(BG$5&gt;=RepStart,BG$5&lt;=RepEnd),MIN(1,(BG$5-RepStart+1)/(RampUp+1),(RepEnd-BG$5+1)/(RampDown+1)),0)</f>
        <v>0</v>
      </c>
      <c r="BH20" s="57" t="n">
        <f aca="false">IF(AND(BH$5&gt;=RepStart,BH$5&lt;=RepEnd),MIN(1,(BH$5-RepStart+1)/(RampUp+1),(RepEnd-BH$5+1)/(RampDown+1)),0)</f>
        <v>0</v>
      </c>
      <c r="BI20" s="57" t="n">
        <f aca="false">IF(AND(BI$5&gt;=RepStart,BI$5&lt;=RepEnd),MIN(1,(BI$5-RepStart+1)/(RampUp+1),(RepEnd-BI$5+1)/(RampDown+1)),0)</f>
        <v>0</v>
      </c>
      <c r="BJ20" s="57" t="n">
        <f aca="false">IF(AND(BJ$5&gt;=RepStart,BJ$5&lt;=RepEnd),MIN(1,(BJ$5-RepStart+1)/(RampUp+1),(RepEnd-BJ$5+1)/(RampDown+1)),0)</f>
        <v>0</v>
      </c>
      <c r="BK20" s="57" t="n">
        <f aca="false">IF(AND(BK$5&gt;=RepStart,BK$5&lt;=RepEnd),MIN(1,(BK$5-RepStart+1)/(RampUp+1),(RepEnd-BK$5+1)/(RampDown+1)),0)</f>
        <v>0</v>
      </c>
      <c r="BL20" s="57" t="n">
        <f aca="false">IF(AND(BL$5&gt;=RepStart,BL$5&lt;=RepEnd),MIN(1,(BL$5-RepStart+1)/(RampUp+1),(RepEnd-BL$5+1)/(RampDown+1)),0)</f>
        <v>0</v>
      </c>
      <c r="BM20" s="57" t="n">
        <f aca="false">IF(AND(BM$5&gt;=RepStart,BM$5&lt;=RepEnd),MIN(1,(BM$5-RepStart+1)/(RampUp+1),(RepEnd-BM$5+1)/(RampDown+1)),0)</f>
        <v>0</v>
      </c>
      <c r="BN20" s="57" t="n">
        <f aca="false">IF(AND(BN$5&gt;=RepStart,BN$5&lt;=RepEnd),MIN(1,(BN$5-RepStart+1)/(RampUp+1),(RepEnd-BN$5+1)/(RampDown+1)),0)</f>
        <v>0</v>
      </c>
      <c r="BO20" s="57" t="n">
        <f aca="false">IF(AND(BO$5&gt;=RepStart,BO$5&lt;=RepEnd),MIN(1,(BO$5-RepStart+1)/(RampUp+1),(RepEnd-BO$5+1)/(RampDown+1)),0)</f>
        <v>0</v>
      </c>
      <c r="BP20" s="57" t="n">
        <f aca="false">IF(AND(BP$5&gt;=RepStart,BP$5&lt;=RepEnd),MIN(1,(BP$5-RepStart+1)/(RampUp+1),(RepEnd-BP$5+1)/(RampDown+1)),0)</f>
        <v>0</v>
      </c>
      <c r="BQ20" s="57" t="n">
        <f aca="false">IF(AND(BQ$5&gt;=RepStart,BQ$5&lt;=RepEnd),MIN(1,(BQ$5-RepStart+1)/(RampUp+1),(RepEnd-BQ$5+1)/(RampDown+1)),0)</f>
        <v>0</v>
      </c>
      <c r="BR20" s="57" t="n">
        <f aca="false">IF(AND(BR$5&gt;=RepStart,BR$5&lt;=RepEnd),MIN(1,(BR$5-RepStart+1)/(RampUp+1),(RepEnd-BR$5+1)/(RampDown+1)),0)</f>
        <v>0</v>
      </c>
      <c r="BS20" s="57" t="n">
        <f aca="false">IF(AND(BS$5&gt;=RepStart,BS$5&lt;=RepEnd),MIN(1,(BS$5-RepStart+1)/(RampUp+1),(RepEnd-BS$5+1)/(RampDown+1)),0)</f>
        <v>0</v>
      </c>
      <c r="BT20" s="57" t="n">
        <f aca="false">IF(AND(BT$5&gt;=RepStart,BT$5&lt;=RepEnd),MIN(1,(BT$5-RepStart+1)/(RampUp+1),(RepEnd-BT$5+1)/(RampDown+1)),0)</f>
        <v>0</v>
      </c>
      <c r="BU20" s="57" t="n">
        <f aca="false">IF(AND(BU$5&gt;=RepStart,BU$5&lt;=RepEnd),MIN(1,(BU$5-RepStart+1)/(RampUp+1),(RepEnd-BU$5+1)/(RampDown+1)),0)</f>
        <v>0</v>
      </c>
      <c r="BV20" s="57" t="n">
        <f aca="false">IF(AND(BV$5&gt;=RepStart,BV$5&lt;=RepEnd),MIN(1,(BV$5-RepStart+1)/(RampUp+1),(RepEnd-BV$5+1)/(RampDown+1)),0)</f>
        <v>0</v>
      </c>
      <c r="BW20" s="57" t="n">
        <f aca="false">IF(AND(BW$5&gt;=RepStart,BW$5&lt;=RepEnd),MIN(1,(BW$5-RepStart+1)/(RampUp+1),(RepEnd-BW$5+1)/(RampDown+1)),0)</f>
        <v>0</v>
      </c>
      <c r="BX20" s="57" t="n">
        <f aca="false">IF(AND(BX$5&gt;=RepStart,BX$5&lt;=RepEnd),MIN(1,(BX$5-RepStart+1)/(RampUp+1),(RepEnd-BX$5+1)/(RampDown+1)),0)</f>
        <v>0</v>
      </c>
      <c r="BY20" s="57" t="n">
        <f aca="false">IF(AND(BY$5&gt;=RepStart,BY$5&lt;=RepEnd),MIN(1,(BY$5-RepStart+1)/(RampUp+1),(RepEnd-BY$5+1)/(RampDown+1)),0)</f>
        <v>0</v>
      </c>
      <c r="BZ20" s="57" t="n">
        <f aca="false">IF(AND(BZ$5&gt;=RepStart,BZ$5&lt;=RepEnd),MIN(1,(BZ$5-RepStart+1)/(RampUp+1),(RepEnd-BZ$5+1)/(RampDown+1)),0)</f>
        <v>0</v>
      </c>
      <c r="CA20" s="57" t="n">
        <f aca="false">IF(AND(CA$5&gt;=RepStart,CA$5&lt;=RepEnd),MIN(1,(CA$5-RepStart+1)/(RampUp+1),(RepEnd-CA$5+1)/(RampDown+1)),0)</f>
        <v>0</v>
      </c>
      <c r="CB20" s="57" t="n">
        <f aca="false">IF(AND(CB$5&gt;=RepStart,CB$5&lt;=RepEnd),MIN(1,(CB$5-RepStart+1)/(RampUp+1),(RepEnd-CB$5+1)/(RampDown+1)),0)</f>
        <v>0</v>
      </c>
      <c r="CC20" s="57" t="n">
        <f aca="false">IF(AND(CC$5&gt;=RepStart,CC$5&lt;=RepEnd),MIN(1,(CC$5-RepStart+1)/(RampUp+1),(RepEnd-CC$5+1)/(RampDown+1)),0)</f>
        <v>0</v>
      </c>
      <c r="CD20" s="57" t="n">
        <f aca="false">IF(AND(CD$5&gt;=RepStart,CD$5&lt;=RepEnd),MIN(1,(CD$5-RepStart+1)/(RampUp+1),(RepEnd-CD$5+1)/(RampDown+1)),0)</f>
        <v>0</v>
      </c>
      <c r="CE20" s="57" t="n">
        <f aca="false">IF(AND(CE$5&gt;=RepStart,CE$5&lt;=RepEnd),MIN(1,(CE$5-RepStart+1)/(RampUp+1),(RepEnd-CE$5+1)/(RampDown+1)),0)</f>
        <v>0</v>
      </c>
      <c r="CF20" s="57" t="n">
        <f aca="false">IF(AND(CF$5&gt;=RepStart,CF$5&lt;=RepEnd),MIN(1,(CF$5-RepStart+1)/(RampUp+1),(RepEnd-CF$5+1)/(RampDown+1)),0)</f>
        <v>0</v>
      </c>
      <c r="CG20" s="57" t="n">
        <f aca="false">IF(AND(CG$5&gt;=RepStart,CG$5&lt;=RepEnd),MIN(1,(CG$5-RepStart+1)/(RampUp+1),(RepEnd-CG$5+1)/(RampDown+1)),0)</f>
        <v>0</v>
      </c>
      <c r="CH20" s="57" t="n">
        <f aca="false">IF(AND(CH$5&gt;=RepStart,CH$5&lt;=RepEnd),MIN(1,(CH$5-RepStart+1)/(RampUp+1),(RepEnd-CH$5+1)/(RampDown+1)),0)</f>
        <v>0</v>
      </c>
      <c r="CI20" s="57" t="n">
        <f aca="false">IF(AND(CI$5&gt;=RepStart,CI$5&lt;=RepEnd),MIN(1,(CI$5-RepStart+1)/(RampUp+1),(RepEnd-CI$5+1)/(RampDown+1)),0)</f>
        <v>0</v>
      </c>
      <c r="CJ20" s="57" t="n">
        <f aca="false">IF(AND(CJ$5&gt;=RepStart,CJ$5&lt;=RepEnd),MIN(1,(CJ$5-RepStart+1)/(RampUp+1),(RepEnd-CJ$5+1)/(RampDown+1)),0)</f>
        <v>0</v>
      </c>
      <c r="CK20" s="57" t="n">
        <f aca="false">IF(AND(CK$5&gt;=RepStart,CK$5&lt;=RepEnd),MIN(1,(CK$5-RepStart+1)/(RampUp+1),(RepEnd-CK$5+1)/(RampDown+1)),0)</f>
        <v>0</v>
      </c>
      <c r="CL20" s="57" t="n">
        <f aca="false">IF(AND(CL$5&gt;=RepStart,CL$5&lt;=RepEnd),MIN(1,(CL$5-RepStart+1)/(RampUp+1),(RepEnd-CL$5+1)/(RampDown+1)),0)</f>
        <v>0</v>
      </c>
      <c r="CM20" s="57" t="n">
        <f aca="false">IF(AND(CM$5&gt;=RepStart,CM$5&lt;=RepEnd),MIN(1,(CM$5-RepStart+1)/(RampUp+1),(RepEnd-CM$5+1)/(RampDown+1)),0)</f>
        <v>0</v>
      </c>
      <c r="CN20" s="57" t="n">
        <f aca="false">IF(AND(CN$5&gt;=RepStart,CN$5&lt;=RepEnd),MIN(1,(CN$5-RepStart+1)/(RampUp+1),(RepEnd-CN$5+1)/(RampDown+1)),0)</f>
        <v>0</v>
      </c>
      <c r="CO20" s="57" t="n">
        <f aca="false">IF(AND(CO$5&gt;=RepStart,CO$5&lt;=RepEnd),MIN(1,(CO$5-RepStart+1)/(RampUp+1),(RepEnd-CO$5+1)/(RampDown+1)),0)</f>
        <v>0</v>
      </c>
      <c r="CP20" s="57" t="n">
        <f aca="false">IF(AND(CP$5&gt;=RepStart,CP$5&lt;=RepEnd),MIN(1,(CP$5-RepStart+1)/(RampUp+1),(RepEnd-CP$5+1)/(RampDown+1)),0)</f>
        <v>0</v>
      </c>
      <c r="CQ20" s="57" t="n">
        <f aca="false">IF(AND(CQ$5&gt;=RepStart,CQ$5&lt;=RepEnd),MIN(1,(CQ$5-RepStart+1)/(RampUp+1),(RepEnd-CQ$5+1)/(RampDown+1)),0)</f>
        <v>0</v>
      </c>
      <c r="CR20" s="57" t="n">
        <f aca="false">IF(AND(CR$5&gt;=RepStart,CR$5&lt;=RepEnd),MIN(1,(CR$5-RepStart+1)/(RampUp+1),(RepEnd-CR$5+1)/(RampDown+1)),0)</f>
        <v>0</v>
      </c>
      <c r="CS20" s="57" t="n">
        <f aca="false">IF(AND(CS$5&gt;=RepStart,CS$5&lt;=RepEnd),MIN(1,(CS$5-RepStart+1)/(RampUp+1),(RepEnd-CS$5+1)/(RampDown+1)),0)</f>
        <v>0</v>
      </c>
      <c r="CT20" s="57" t="n">
        <f aca="false">IF(AND(CT$5&gt;=RepStart,CT$5&lt;=RepEnd),MIN(1,(CT$5-RepStart+1)/(RampUp+1),(RepEnd-CT$5+1)/(RampDown+1)),0)</f>
        <v>0</v>
      </c>
      <c r="CU20" s="57" t="n">
        <f aca="false">IF(AND(CU$5&gt;=RepStart,CU$5&lt;=RepEnd),MIN(1,(CU$5-RepStart+1)/(RampUp+1),(RepEnd-CU$5+1)/(RampDown+1)),0)</f>
        <v>0</v>
      </c>
      <c r="CV20" s="57" t="n">
        <f aca="false">IF(AND(CV$5&gt;=RepStart,CV$5&lt;=RepEnd),MIN(1,(CV$5-RepStart+1)/(RampUp+1),(RepEnd-CV$5+1)/(RampDown+1)),0)</f>
        <v>0</v>
      </c>
      <c r="CW20" s="57" t="n">
        <f aca="false">IF(AND(CW$5&gt;=RepStart,CW$5&lt;=RepEnd),MIN(1,(CW$5-RepStart+1)/(RampUp+1),(RepEnd-CW$5+1)/(RampDown+1)),0)</f>
        <v>0</v>
      </c>
      <c r="CX20" s="57" t="n">
        <f aca="false">IF(AND(CX$5&gt;=RepStart,CX$5&lt;=RepEnd),MIN(1,(CX$5-RepStart+1)/(RampUp+1),(RepEnd-CX$5+1)/(RampDown+1)),0)</f>
        <v>0</v>
      </c>
      <c r="CY20" s="57" t="n">
        <f aca="false">IF(AND(CY$5&gt;=RepStart,CY$5&lt;=RepEnd),MIN(1,(CY$5-RepStart+1)/(RampUp+1),(RepEnd-CY$5+1)/(RampDown+1)),0)</f>
        <v>0</v>
      </c>
      <c r="CZ20" s="57" t="n">
        <f aca="false">IF(AND(CZ$5&gt;=RepStart,CZ$5&lt;=RepEnd),MIN(1,(CZ$5-RepStart+1)/(RampUp+1),(RepEnd-CZ$5+1)/(RampDown+1)),0)</f>
        <v>0</v>
      </c>
      <c r="DA20" s="57" t="n">
        <f aca="false">IF(AND(DA$5&gt;=RepStart,DA$5&lt;=RepEnd),MIN(1,(DA$5-RepStart+1)/(RampUp+1),(RepEnd-DA$5+1)/(RampDown+1)),0)</f>
        <v>0</v>
      </c>
      <c r="DB20" s="57" t="n">
        <f aca="false">IF(AND(DB$5&gt;=RepStart,DB$5&lt;=RepEnd),MIN(1,(DB$5-RepStart+1)/(RampUp+1),(RepEnd-DB$5+1)/(RampDown+1)),0)</f>
        <v>0</v>
      </c>
      <c r="DC20" s="57" t="n">
        <f aca="false">IF(AND(DC$5&gt;=RepStart,DC$5&lt;=RepEnd),MIN(1,(DC$5-RepStart+1)/(RampUp+1),(RepEnd-DC$5+1)/(RampDown+1)),0)</f>
        <v>0</v>
      </c>
      <c r="DD20" s="57" t="n">
        <f aca="false">IF(AND(DD$5&gt;=RepStart,DD$5&lt;=RepEnd),MIN(1,(DD$5-RepStart+1)/(RampUp+1),(RepEnd-DD$5+1)/(RampDown+1)),0)</f>
        <v>0</v>
      </c>
      <c r="DE20" s="57" t="n">
        <f aca="false">IF(AND(DE$5&gt;=RepStart,DE$5&lt;=RepEnd),MIN(1,(DE$5-RepStart+1)/(RampUp+1),(RepEnd-DE$5+1)/(RampDown+1)),0)</f>
        <v>0</v>
      </c>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row>
    <row r="22" customFormat="false" ht="15" hidden="false" customHeight="false" outlineLevel="0" collapsed="false">
      <c r="A22" s="4" t="s">
        <v>584</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row>
    <row r="23" customFormat="false" ht="15" hidden="false" customHeight="false" outlineLevel="0" collapsed="false">
      <c r="A23" s="9" t="str">
        <f aca="false">Roles!B6</f>
        <v>Delivery manager / PM</v>
      </c>
      <c r="B23" s="2"/>
      <c r="C23" s="2"/>
      <c r="D23" s="22" t="n">
        <f aca="false">SUM(F23:DE23)</f>
        <v>1440</v>
      </c>
      <c r="E23" s="2"/>
      <c r="F23" s="22" t="n">
        <f aca="false">SUMPRODUCT(F$8:F$18,Roles!$C$18:$C$28)</f>
        <v>40</v>
      </c>
      <c r="G23" s="22" t="n">
        <f aca="false">SUMPRODUCT(G$8:G$18,Roles!$C$18:$C$28)</f>
        <v>40</v>
      </c>
      <c r="H23" s="22" t="n">
        <f aca="false">SUMPRODUCT(H$8:H$18,Roles!$C$18:$C$28)</f>
        <v>40</v>
      </c>
      <c r="I23" s="22" t="n">
        <f aca="false">SUMPRODUCT(I$8:I$18,Roles!$C$18:$C$28)</f>
        <v>40</v>
      </c>
      <c r="J23" s="22" t="n">
        <f aca="false">SUMPRODUCT(J$8:J$18,Roles!$C$18:$C$28)</f>
        <v>40</v>
      </c>
      <c r="K23" s="22" t="n">
        <f aca="false">SUMPRODUCT(K$8:K$18,Roles!$C$18:$C$28)</f>
        <v>40</v>
      </c>
      <c r="L23" s="22" t="n">
        <f aca="false">SUMPRODUCT(L$8:L$18,Roles!$C$18:$C$28)</f>
        <v>40</v>
      </c>
      <c r="M23" s="22" t="n">
        <f aca="false">SUMPRODUCT(M$8:M$18,Roles!$C$18:$C$28)</f>
        <v>40</v>
      </c>
      <c r="N23" s="22" t="n">
        <f aca="false">SUMPRODUCT(N$8:N$18,Roles!$C$18:$C$28)</f>
        <v>40</v>
      </c>
      <c r="O23" s="22" t="n">
        <f aca="false">SUMPRODUCT(O$8:O$18,Roles!$C$18:$C$28)</f>
        <v>40</v>
      </c>
      <c r="P23" s="22" t="n">
        <f aca="false">SUMPRODUCT(P$8:P$18,Roles!$C$18:$C$28)</f>
        <v>40</v>
      </c>
      <c r="Q23" s="22" t="n">
        <f aca="false">SUMPRODUCT(Q$8:Q$18,Roles!$C$18:$C$28)</f>
        <v>40</v>
      </c>
      <c r="R23" s="22" t="n">
        <f aca="false">SUMPRODUCT(R$8:R$18,Roles!$C$18:$C$28)</f>
        <v>40</v>
      </c>
      <c r="S23" s="22" t="n">
        <f aca="false">SUMPRODUCT(S$8:S$18,Roles!$C$18:$C$28)</f>
        <v>40</v>
      </c>
      <c r="T23" s="22" t="n">
        <f aca="false">SUMPRODUCT(T$8:T$18,Roles!$C$18:$C$28)</f>
        <v>40</v>
      </c>
      <c r="U23" s="22" t="n">
        <f aca="false">SUMPRODUCT(U$8:U$18,Roles!$C$18:$C$28)</f>
        <v>40</v>
      </c>
      <c r="V23" s="22" t="n">
        <f aca="false">SUMPRODUCT(V$8:V$18,Roles!$C$18:$C$28)</f>
        <v>40</v>
      </c>
      <c r="W23" s="22" t="n">
        <f aca="false">SUMPRODUCT(W$8:W$18,Roles!$C$18:$C$28)</f>
        <v>40</v>
      </c>
      <c r="X23" s="22" t="n">
        <f aca="false">SUMPRODUCT(X$8:X$18,Roles!$C$18:$C$28)</f>
        <v>40</v>
      </c>
      <c r="Y23" s="22" t="n">
        <f aca="false">SUMPRODUCT(Y$8:Y$18,Roles!$C$18:$C$28)</f>
        <v>40</v>
      </c>
      <c r="Z23" s="22" t="n">
        <f aca="false">SUMPRODUCT(Z$8:Z$18,Roles!$C$18:$C$28)</f>
        <v>40</v>
      </c>
      <c r="AA23" s="22" t="n">
        <f aca="false">SUMPRODUCT(AA$8:AA$18,Roles!$C$18:$C$28)</f>
        <v>40</v>
      </c>
      <c r="AB23" s="22" t="n">
        <f aca="false">SUMPRODUCT(AB$8:AB$18,Roles!$C$18:$C$28)</f>
        <v>40</v>
      </c>
      <c r="AC23" s="22" t="n">
        <f aca="false">SUMPRODUCT(AC$8:AC$18,Roles!$C$18:$C$28)</f>
        <v>40</v>
      </c>
      <c r="AD23" s="22" t="n">
        <f aca="false">SUMPRODUCT(AD$8:AD$18,Roles!$C$18:$C$28)</f>
        <v>40</v>
      </c>
      <c r="AE23" s="22" t="n">
        <f aca="false">SUMPRODUCT(AE$8:AE$18,Roles!$C$18:$C$28)</f>
        <v>40</v>
      </c>
      <c r="AF23" s="22" t="n">
        <f aca="false">SUMPRODUCT(AF$8:AF$18,Roles!$C$18:$C$28)</f>
        <v>40</v>
      </c>
      <c r="AG23" s="22" t="n">
        <f aca="false">SUMPRODUCT(AG$8:AG$18,Roles!$C$18:$C$28)</f>
        <v>40</v>
      </c>
      <c r="AH23" s="22" t="n">
        <f aca="false">SUMPRODUCT(AH$8:AH$18,Roles!$C$18:$C$28)</f>
        <v>40</v>
      </c>
      <c r="AI23" s="22" t="n">
        <f aca="false">SUMPRODUCT(AI$8:AI$18,Roles!$C$18:$C$28)</f>
        <v>40</v>
      </c>
      <c r="AJ23" s="22" t="n">
        <f aca="false">SUMPRODUCT(AJ$8:AJ$18,Roles!$C$18:$C$28)</f>
        <v>40</v>
      </c>
      <c r="AK23" s="22" t="n">
        <f aca="false">SUMPRODUCT(AK$8:AK$18,Roles!$C$18:$C$28)</f>
        <v>40</v>
      </c>
      <c r="AL23" s="22" t="n">
        <f aca="false">SUMPRODUCT(AL$8:AL$18,Roles!$C$18:$C$28)</f>
        <v>40</v>
      </c>
      <c r="AM23" s="22" t="n">
        <f aca="false">SUMPRODUCT(AM$8:AM$18,Roles!$C$18:$C$28)</f>
        <v>40</v>
      </c>
      <c r="AN23" s="22" t="n">
        <f aca="false">SUMPRODUCT(AN$8:AN$18,Roles!$C$18:$C$28)</f>
        <v>40</v>
      </c>
      <c r="AO23" s="22" t="n">
        <f aca="false">SUMPRODUCT(AO$8:AO$18,Roles!$C$18:$C$28)</f>
        <v>40</v>
      </c>
      <c r="AP23" s="22" t="n">
        <f aca="false">SUMPRODUCT(AP$8:AP$18,Roles!$C$18:$C$28)</f>
        <v>0</v>
      </c>
      <c r="AQ23" s="22" t="n">
        <f aca="false">SUMPRODUCT(AQ$8:AQ$18,Roles!$C$18:$C$28)</f>
        <v>0</v>
      </c>
      <c r="AR23" s="22" t="n">
        <f aca="false">SUMPRODUCT(AR$8:AR$18,Roles!$C$18:$C$28)</f>
        <v>0</v>
      </c>
      <c r="AS23" s="22" t="n">
        <f aca="false">SUMPRODUCT(AS$8:AS$18,Roles!$C$18:$C$28)</f>
        <v>0</v>
      </c>
      <c r="AT23" s="22" t="n">
        <f aca="false">SUMPRODUCT(AT$8:AT$18,Roles!$C$18:$C$28)</f>
        <v>0</v>
      </c>
      <c r="AU23" s="22" t="n">
        <f aca="false">SUMPRODUCT(AU$8:AU$18,Roles!$C$18:$C$28)</f>
        <v>0</v>
      </c>
      <c r="AV23" s="22" t="n">
        <f aca="false">SUMPRODUCT(AV$8:AV$18,Roles!$C$18:$C$28)</f>
        <v>0</v>
      </c>
      <c r="AW23" s="22" t="n">
        <f aca="false">SUMPRODUCT(AW$8:AW$18,Roles!$C$18:$C$28)</f>
        <v>0</v>
      </c>
      <c r="AX23" s="22" t="n">
        <f aca="false">SUMPRODUCT(AX$8:AX$18,Roles!$C$18:$C$28)</f>
        <v>0</v>
      </c>
      <c r="AY23" s="22" t="n">
        <f aca="false">SUMPRODUCT(AY$8:AY$18,Roles!$C$18:$C$28)</f>
        <v>0</v>
      </c>
      <c r="AZ23" s="22" t="n">
        <f aca="false">SUMPRODUCT(AZ$8:AZ$18,Roles!$C$18:$C$28)</f>
        <v>0</v>
      </c>
      <c r="BA23" s="22" t="n">
        <f aca="false">SUMPRODUCT(BA$8:BA$18,Roles!$C$18:$C$28)</f>
        <v>0</v>
      </c>
      <c r="BB23" s="22" t="n">
        <f aca="false">SUMPRODUCT(BB$8:BB$18,Roles!$C$18:$C$28)</f>
        <v>0</v>
      </c>
      <c r="BC23" s="22" t="n">
        <f aca="false">SUMPRODUCT(BC$8:BC$18,Roles!$C$18:$C$28)</f>
        <v>0</v>
      </c>
      <c r="BD23" s="22" t="n">
        <f aca="false">SUMPRODUCT(BD$8:BD$18,Roles!$C$18:$C$28)</f>
        <v>0</v>
      </c>
      <c r="BE23" s="22" t="n">
        <f aca="false">SUMPRODUCT(BE$8:BE$18,Roles!$C$18:$C$28)</f>
        <v>0</v>
      </c>
      <c r="BF23" s="22" t="n">
        <f aca="false">SUMPRODUCT(BF$8:BF$18,Roles!$C$18:$C$28)</f>
        <v>0</v>
      </c>
      <c r="BG23" s="22" t="n">
        <f aca="false">SUMPRODUCT(BG$8:BG$18,Roles!$C$18:$C$28)</f>
        <v>0</v>
      </c>
      <c r="BH23" s="22" t="n">
        <f aca="false">SUMPRODUCT(BH$8:BH$18,Roles!$C$18:$C$28)</f>
        <v>0</v>
      </c>
      <c r="BI23" s="22" t="n">
        <f aca="false">SUMPRODUCT(BI$8:BI$18,Roles!$C$18:$C$28)</f>
        <v>0</v>
      </c>
      <c r="BJ23" s="22" t="n">
        <f aca="false">SUMPRODUCT(BJ$8:BJ$18,Roles!$C$18:$C$28)</f>
        <v>0</v>
      </c>
      <c r="BK23" s="22" t="n">
        <f aca="false">SUMPRODUCT(BK$8:BK$18,Roles!$C$18:$C$28)</f>
        <v>0</v>
      </c>
      <c r="BL23" s="22" t="n">
        <f aca="false">SUMPRODUCT(BL$8:BL$18,Roles!$C$18:$C$28)</f>
        <v>0</v>
      </c>
      <c r="BM23" s="22" t="n">
        <f aca="false">SUMPRODUCT(BM$8:BM$18,Roles!$C$18:$C$28)</f>
        <v>0</v>
      </c>
      <c r="BN23" s="22" t="n">
        <f aca="false">SUMPRODUCT(BN$8:BN$18,Roles!$C$18:$C$28)</f>
        <v>0</v>
      </c>
      <c r="BO23" s="22" t="n">
        <f aca="false">SUMPRODUCT(BO$8:BO$18,Roles!$C$18:$C$28)</f>
        <v>0</v>
      </c>
      <c r="BP23" s="22" t="n">
        <f aca="false">SUMPRODUCT(BP$8:BP$18,Roles!$C$18:$C$28)</f>
        <v>0</v>
      </c>
      <c r="BQ23" s="22" t="n">
        <f aca="false">SUMPRODUCT(BQ$8:BQ$18,Roles!$C$18:$C$28)</f>
        <v>0</v>
      </c>
      <c r="BR23" s="22" t="n">
        <f aca="false">SUMPRODUCT(BR$8:BR$18,Roles!$C$18:$C$28)</f>
        <v>0</v>
      </c>
      <c r="BS23" s="22" t="n">
        <f aca="false">SUMPRODUCT(BS$8:BS$18,Roles!$C$18:$C$28)</f>
        <v>0</v>
      </c>
      <c r="BT23" s="22" t="n">
        <f aca="false">SUMPRODUCT(BT$8:BT$18,Roles!$C$18:$C$28)</f>
        <v>0</v>
      </c>
      <c r="BU23" s="22" t="n">
        <f aca="false">SUMPRODUCT(BU$8:BU$18,Roles!$C$18:$C$28)</f>
        <v>0</v>
      </c>
      <c r="BV23" s="22" t="n">
        <f aca="false">SUMPRODUCT(BV$8:BV$18,Roles!$C$18:$C$28)</f>
        <v>0</v>
      </c>
      <c r="BW23" s="22" t="n">
        <f aca="false">SUMPRODUCT(BW$8:BW$18,Roles!$C$18:$C$28)</f>
        <v>0</v>
      </c>
      <c r="BX23" s="22" t="n">
        <f aca="false">SUMPRODUCT(BX$8:BX$18,Roles!$C$18:$C$28)</f>
        <v>0</v>
      </c>
      <c r="BY23" s="22" t="n">
        <f aca="false">SUMPRODUCT(BY$8:BY$18,Roles!$C$18:$C$28)</f>
        <v>0</v>
      </c>
      <c r="BZ23" s="22" t="n">
        <f aca="false">SUMPRODUCT(BZ$8:BZ$18,Roles!$C$18:$C$28)</f>
        <v>0</v>
      </c>
      <c r="CA23" s="22" t="n">
        <f aca="false">SUMPRODUCT(CA$8:CA$18,Roles!$C$18:$C$28)</f>
        <v>0</v>
      </c>
      <c r="CB23" s="22" t="n">
        <f aca="false">SUMPRODUCT(CB$8:CB$18,Roles!$C$18:$C$28)</f>
        <v>0</v>
      </c>
      <c r="CC23" s="22" t="n">
        <f aca="false">SUMPRODUCT(CC$8:CC$18,Roles!$C$18:$C$28)</f>
        <v>0</v>
      </c>
      <c r="CD23" s="22" t="n">
        <f aca="false">SUMPRODUCT(CD$8:CD$18,Roles!$C$18:$C$28)</f>
        <v>0</v>
      </c>
      <c r="CE23" s="22" t="n">
        <f aca="false">SUMPRODUCT(CE$8:CE$18,Roles!$C$18:$C$28)</f>
        <v>0</v>
      </c>
      <c r="CF23" s="22" t="n">
        <f aca="false">SUMPRODUCT(CF$8:CF$18,Roles!$C$18:$C$28)</f>
        <v>0</v>
      </c>
      <c r="CG23" s="22" t="n">
        <f aca="false">SUMPRODUCT(CG$8:CG$18,Roles!$C$18:$C$28)</f>
        <v>0</v>
      </c>
      <c r="CH23" s="22" t="n">
        <f aca="false">SUMPRODUCT(CH$8:CH$18,Roles!$C$18:$C$28)</f>
        <v>0</v>
      </c>
      <c r="CI23" s="22" t="n">
        <f aca="false">SUMPRODUCT(CI$8:CI$18,Roles!$C$18:$C$28)</f>
        <v>0</v>
      </c>
      <c r="CJ23" s="22" t="n">
        <f aca="false">SUMPRODUCT(CJ$8:CJ$18,Roles!$C$18:$C$28)</f>
        <v>0</v>
      </c>
      <c r="CK23" s="22" t="n">
        <f aca="false">SUMPRODUCT(CK$8:CK$18,Roles!$C$18:$C$28)</f>
        <v>0</v>
      </c>
      <c r="CL23" s="22" t="n">
        <f aca="false">SUMPRODUCT(CL$8:CL$18,Roles!$C$18:$C$28)</f>
        <v>0</v>
      </c>
      <c r="CM23" s="22" t="n">
        <f aca="false">SUMPRODUCT(CM$8:CM$18,Roles!$C$18:$C$28)</f>
        <v>0</v>
      </c>
      <c r="CN23" s="22" t="n">
        <f aca="false">SUMPRODUCT(CN$8:CN$18,Roles!$C$18:$C$28)</f>
        <v>0</v>
      </c>
      <c r="CO23" s="22" t="n">
        <f aca="false">SUMPRODUCT(CO$8:CO$18,Roles!$C$18:$C$28)</f>
        <v>0</v>
      </c>
      <c r="CP23" s="22" t="n">
        <f aca="false">SUMPRODUCT(CP$8:CP$18,Roles!$C$18:$C$28)</f>
        <v>0</v>
      </c>
      <c r="CQ23" s="22" t="n">
        <f aca="false">SUMPRODUCT(CQ$8:CQ$18,Roles!$C$18:$C$28)</f>
        <v>0</v>
      </c>
      <c r="CR23" s="22" t="n">
        <f aca="false">SUMPRODUCT(CR$8:CR$18,Roles!$C$18:$C$28)</f>
        <v>0</v>
      </c>
      <c r="CS23" s="22" t="n">
        <f aca="false">SUMPRODUCT(CS$8:CS$18,Roles!$C$18:$C$28)</f>
        <v>0</v>
      </c>
      <c r="CT23" s="22" t="n">
        <f aca="false">SUMPRODUCT(CT$8:CT$18,Roles!$C$18:$C$28)</f>
        <v>0</v>
      </c>
      <c r="CU23" s="22" t="n">
        <f aca="false">SUMPRODUCT(CU$8:CU$18,Roles!$C$18:$C$28)</f>
        <v>0</v>
      </c>
      <c r="CV23" s="22" t="n">
        <f aca="false">SUMPRODUCT(CV$8:CV$18,Roles!$C$18:$C$28)</f>
        <v>0</v>
      </c>
      <c r="CW23" s="22" t="n">
        <f aca="false">SUMPRODUCT(CW$8:CW$18,Roles!$C$18:$C$28)</f>
        <v>0</v>
      </c>
      <c r="CX23" s="22" t="n">
        <f aca="false">SUMPRODUCT(CX$8:CX$18,Roles!$C$18:$C$28)</f>
        <v>0</v>
      </c>
      <c r="CY23" s="22" t="n">
        <f aca="false">SUMPRODUCT(CY$8:CY$18,Roles!$C$18:$C$28)</f>
        <v>0</v>
      </c>
      <c r="CZ23" s="22" t="n">
        <f aca="false">SUMPRODUCT(CZ$8:CZ$18,Roles!$C$18:$C$28)</f>
        <v>0</v>
      </c>
      <c r="DA23" s="22" t="n">
        <f aca="false">SUMPRODUCT(DA$8:DA$18,Roles!$C$18:$C$28)</f>
        <v>0</v>
      </c>
      <c r="DB23" s="22" t="n">
        <f aca="false">SUMPRODUCT(DB$8:DB$18,Roles!$C$18:$C$28)</f>
        <v>0</v>
      </c>
      <c r="DC23" s="22" t="n">
        <f aca="false">SUMPRODUCT(DC$8:DC$18,Roles!$C$18:$C$28)</f>
        <v>0</v>
      </c>
      <c r="DD23" s="22" t="n">
        <f aca="false">SUMPRODUCT(DD$8:DD$18,Roles!$C$18:$C$28)</f>
        <v>0</v>
      </c>
      <c r="DE23" s="22" t="n">
        <f aca="false">SUMPRODUCT(DE$8:DE$18,Roles!$C$18:$C$28)</f>
        <v>0</v>
      </c>
    </row>
    <row r="24" customFormat="false" ht="15" hidden="false" customHeight="false" outlineLevel="0" collapsed="false">
      <c r="A24" s="9" t="str">
        <f aca="false">Roles!B7</f>
        <v>Onsite architect</v>
      </c>
      <c r="B24" s="2"/>
      <c r="C24" s="2"/>
      <c r="D24" s="22" t="n">
        <f aca="false">SUM(F24:DE24)</f>
        <v>170.6</v>
      </c>
      <c r="E24" s="2"/>
      <c r="F24" s="22" t="n">
        <f aca="false">SUMPRODUCT(F$8:F$18,Roles!$D$18:$D$28)</f>
        <v>23.1</v>
      </c>
      <c r="G24" s="22" t="n">
        <f aca="false">SUMPRODUCT(G$8:G$18,Roles!$D$18:$D$28)</f>
        <v>23.1</v>
      </c>
      <c r="H24" s="22" t="n">
        <f aca="false">SUMPRODUCT(H$8:H$18,Roles!$D$18:$D$28)</f>
        <v>23.1</v>
      </c>
      <c r="I24" s="22" t="n">
        <f aca="false">SUMPRODUCT(I$8:I$18,Roles!$D$18:$D$28)</f>
        <v>39.1</v>
      </c>
      <c r="J24" s="22" t="n">
        <f aca="false">SUMPRODUCT(J$8:J$18,Roles!$D$18:$D$28)</f>
        <v>39.1</v>
      </c>
      <c r="K24" s="22" t="n">
        <f aca="false">SUMPRODUCT(K$8:K$18,Roles!$D$18:$D$28)</f>
        <v>23.1</v>
      </c>
      <c r="L24" s="22" t="n">
        <f aca="false">SUMPRODUCT(L$8:L$18,Roles!$D$18:$D$28)</f>
        <v>0</v>
      </c>
      <c r="M24" s="22" t="n">
        <f aca="false">SUMPRODUCT(M$8:M$18,Roles!$D$18:$D$28)</f>
        <v>0</v>
      </c>
      <c r="N24" s="22" t="n">
        <f aca="false">SUMPRODUCT(N$8:N$18,Roles!$D$18:$D$28)</f>
        <v>0</v>
      </c>
      <c r="O24" s="22" t="n">
        <f aca="false">SUMPRODUCT(O$8:O$18,Roles!$D$18:$D$28)</f>
        <v>0</v>
      </c>
      <c r="P24" s="22" t="n">
        <f aca="false">SUMPRODUCT(P$8:P$18,Roles!$D$18:$D$28)</f>
        <v>0</v>
      </c>
      <c r="Q24" s="22" t="n">
        <f aca="false">SUMPRODUCT(Q$8:Q$18,Roles!$D$18:$D$28)</f>
        <v>0</v>
      </c>
      <c r="R24" s="22" t="n">
        <f aca="false">SUMPRODUCT(R$8:R$18,Roles!$D$18:$D$28)</f>
        <v>0</v>
      </c>
      <c r="S24" s="22" t="n">
        <f aca="false">SUMPRODUCT(S$8:S$18,Roles!$D$18:$D$28)</f>
        <v>0</v>
      </c>
      <c r="T24" s="22" t="n">
        <f aca="false">SUMPRODUCT(T$8:T$18,Roles!$D$18:$D$28)</f>
        <v>0</v>
      </c>
      <c r="U24" s="22" t="n">
        <f aca="false">SUMPRODUCT(U$8:U$18,Roles!$D$18:$D$28)</f>
        <v>0</v>
      </c>
      <c r="V24" s="22" t="n">
        <f aca="false">SUMPRODUCT(V$8:V$18,Roles!$D$18:$D$28)</f>
        <v>0</v>
      </c>
      <c r="W24" s="22" t="n">
        <f aca="false">SUMPRODUCT(W$8:W$18,Roles!$D$18:$D$28)</f>
        <v>0</v>
      </c>
      <c r="X24" s="22" t="n">
        <f aca="false">SUMPRODUCT(X$8:X$18,Roles!$D$18:$D$28)</f>
        <v>0</v>
      </c>
      <c r="Y24" s="22" t="n">
        <f aca="false">SUMPRODUCT(Y$8:Y$18,Roles!$D$18:$D$28)</f>
        <v>0</v>
      </c>
      <c r="Z24" s="22" t="n">
        <f aca="false">SUMPRODUCT(Z$8:Z$18,Roles!$D$18:$D$28)</f>
        <v>0</v>
      </c>
      <c r="AA24" s="22" t="n">
        <f aca="false">SUMPRODUCT(AA$8:AA$18,Roles!$D$18:$D$28)</f>
        <v>0</v>
      </c>
      <c r="AB24" s="22" t="n">
        <f aca="false">SUMPRODUCT(AB$8:AB$18,Roles!$D$18:$D$28)</f>
        <v>0</v>
      </c>
      <c r="AC24" s="22" t="n">
        <f aca="false">SUMPRODUCT(AC$8:AC$18,Roles!$D$18:$D$28)</f>
        <v>0</v>
      </c>
      <c r="AD24" s="22" t="n">
        <f aca="false">SUMPRODUCT(AD$8:AD$18,Roles!$D$18:$D$28)</f>
        <v>0</v>
      </c>
      <c r="AE24" s="22" t="n">
        <f aca="false">SUMPRODUCT(AE$8:AE$18,Roles!$D$18:$D$28)</f>
        <v>0</v>
      </c>
      <c r="AF24" s="22" t="n">
        <f aca="false">SUMPRODUCT(AF$8:AF$18,Roles!$D$18:$D$28)</f>
        <v>0</v>
      </c>
      <c r="AG24" s="22" t="n">
        <f aca="false">SUMPRODUCT(AG$8:AG$18,Roles!$D$18:$D$28)</f>
        <v>0</v>
      </c>
      <c r="AH24" s="22" t="n">
        <f aca="false">SUMPRODUCT(AH$8:AH$18,Roles!$D$18:$D$28)</f>
        <v>0</v>
      </c>
      <c r="AI24" s="22" t="n">
        <f aca="false">SUMPRODUCT(AI$8:AI$18,Roles!$D$18:$D$28)</f>
        <v>0</v>
      </c>
      <c r="AJ24" s="22" t="n">
        <f aca="false">SUMPRODUCT(AJ$8:AJ$18,Roles!$D$18:$D$28)</f>
        <v>0</v>
      </c>
      <c r="AK24" s="22" t="n">
        <f aca="false">SUMPRODUCT(AK$8:AK$18,Roles!$D$18:$D$28)</f>
        <v>0</v>
      </c>
      <c r="AL24" s="22" t="n">
        <f aca="false">SUMPRODUCT(AL$8:AL$18,Roles!$D$18:$D$28)</f>
        <v>0</v>
      </c>
      <c r="AM24" s="22" t="n">
        <f aca="false">SUMPRODUCT(AM$8:AM$18,Roles!$D$18:$D$28)</f>
        <v>0</v>
      </c>
      <c r="AN24" s="22" t="n">
        <f aca="false">SUMPRODUCT(AN$8:AN$18,Roles!$D$18:$D$28)</f>
        <v>0</v>
      </c>
      <c r="AO24" s="22" t="n">
        <f aca="false">SUMPRODUCT(AO$8:AO$18,Roles!$D$18:$D$28)</f>
        <v>0</v>
      </c>
      <c r="AP24" s="22" t="n">
        <f aca="false">SUMPRODUCT(AP$8:AP$18,Roles!$D$18:$D$28)</f>
        <v>0</v>
      </c>
      <c r="AQ24" s="22" t="n">
        <f aca="false">SUMPRODUCT(AQ$8:AQ$18,Roles!$D$18:$D$28)</f>
        <v>0</v>
      </c>
      <c r="AR24" s="22" t="n">
        <f aca="false">SUMPRODUCT(AR$8:AR$18,Roles!$D$18:$D$28)</f>
        <v>0</v>
      </c>
      <c r="AS24" s="22" t="n">
        <f aca="false">SUMPRODUCT(AS$8:AS$18,Roles!$D$18:$D$28)</f>
        <v>0</v>
      </c>
      <c r="AT24" s="22" t="n">
        <f aca="false">SUMPRODUCT(AT$8:AT$18,Roles!$D$18:$D$28)</f>
        <v>0</v>
      </c>
      <c r="AU24" s="22" t="n">
        <f aca="false">SUMPRODUCT(AU$8:AU$18,Roles!$D$18:$D$28)</f>
        <v>0</v>
      </c>
      <c r="AV24" s="22" t="n">
        <f aca="false">SUMPRODUCT(AV$8:AV$18,Roles!$D$18:$D$28)</f>
        <v>0</v>
      </c>
      <c r="AW24" s="22" t="n">
        <f aca="false">SUMPRODUCT(AW$8:AW$18,Roles!$D$18:$D$28)</f>
        <v>0</v>
      </c>
      <c r="AX24" s="22" t="n">
        <f aca="false">SUMPRODUCT(AX$8:AX$18,Roles!$D$18:$D$28)</f>
        <v>0</v>
      </c>
      <c r="AY24" s="22" t="n">
        <f aca="false">SUMPRODUCT(AY$8:AY$18,Roles!$D$18:$D$28)</f>
        <v>0</v>
      </c>
      <c r="AZ24" s="22" t="n">
        <f aca="false">SUMPRODUCT(AZ$8:AZ$18,Roles!$D$18:$D$28)</f>
        <v>0</v>
      </c>
      <c r="BA24" s="22" t="n">
        <f aca="false">SUMPRODUCT(BA$8:BA$18,Roles!$D$18:$D$28)</f>
        <v>0</v>
      </c>
      <c r="BB24" s="22" t="n">
        <f aca="false">SUMPRODUCT(BB$8:BB$18,Roles!$D$18:$D$28)</f>
        <v>0</v>
      </c>
      <c r="BC24" s="22" t="n">
        <f aca="false">SUMPRODUCT(BC$8:BC$18,Roles!$D$18:$D$28)</f>
        <v>0</v>
      </c>
      <c r="BD24" s="22" t="n">
        <f aca="false">SUMPRODUCT(BD$8:BD$18,Roles!$D$18:$D$28)</f>
        <v>0</v>
      </c>
      <c r="BE24" s="22" t="n">
        <f aca="false">SUMPRODUCT(BE$8:BE$18,Roles!$D$18:$D$28)</f>
        <v>0</v>
      </c>
      <c r="BF24" s="22" t="n">
        <f aca="false">SUMPRODUCT(BF$8:BF$18,Roles!$D$18:$D$28)</f>
        <v>0</v>
      </c>
      <c r="BG24" s="22" t="n">
        <f aca="false">SUMPRODUCT(BG$8:BG$18,Roles!$D$18:$D$28)</f>
        <v>0</v>
      </c>
      <c r="BH24" s="22" t="n">
        <f aca="false">SUMPRODUCT(BH$8:BH$18,Roles!$D$18:$D$28)</f>
        <v>0</v>
      </c>
      <c r="BI24" s="22" t="n">
        <f aca="false">SUMPRODUCT(BI$8:BI$18,Roles!$D$18:$D$28)</f>
        <v>0</v>
      </c>
      <c r="BJ24" s="22" t="n">
        <f aca="false">SUMPRODUCT(BJ$8:BJ$18,Roles!$D$18:$D$28)</f>
        <v>0</v>
      </c>
      <c r="BK24" s="22" t="n">
        <f aca="false">SUMPRODUCT(BK$8:BK$18,Roles!$D$18:$D$28)</f>
        <v>0</v>
      </c>
      <c r="BL24" s="22" t="n">
        <f aca="false">SUMPRODUCT(BL$8:BL$18,Roles!$D$18:$D$28)</f>
        <v>0</v>
      </c>
      <c r="BM24" s="22" t="n">
        <f aca="false">SUMPRODUCT(BM$8:BM$18,Roles!$D$18:$D$28)</f>
        <v>0</v>
      </c>
      <c r="BN24" s="22" t="n">
        <f aca="false">SUMPRODUCT(BN$8:BN$18,Roles!$D$18:$D$28)</f>
        <v>0</v>
      </c>
      <c r="BO24" s="22" t="n">
        <f aca="false">SUMPRODUCT(BO$8:BO$18,Roles!$D$18:$D$28)</f>
        <v>0</v>
      </c>
      <c r="BP24" s="22" t="n">
        <f aca="false">SUMPRODUCT(BP$8:BP$18,Roles!$D$18:$D$28)</f>
        <v>0</v>
      </c>
      <c r="BQ24" s="22" t="n">
        <f aca="false">SUMPRODUCT(BQ$8:BQ$18,Roles!$D$18:$D$28)</f>
        <v>0</v>
      </c>
      <c r="BR24" s="22" t="n">
        <f aca="false">SUMPRODUCT(BR$8:BR$18,Roles!$D$18:$D$28)</f>
        <v>0</v>
      </c>
      <c r="BS24" s="22" t="n">
        <f aca="false">SUMPRODUCT(BS$8:BS$18,Roles!$D$18:$D$28)</f>
        <v>0</v>
      </c>
      <c r="BT24" s="22" t="n">
        <f aca="false">SUMPRODUCT(BT$8:BT$18,Roles!$D$18:$D$28)</f>
        <v>0</v>
      </c>
      <c r="BU24" s="22" t="n">
        <f aca="false">SUMPRODUCT(BU$8:BU$18,Roles!$D$18:$D$28)</f>
        <v>0</v>
      </c>
      <c r="BV24" s="22" t="n">
        <f aca="false">SUMPRODUCT(BV$8:BV$18,Roles!$D$18:$D$28)</f>
        <v>0</v>
      </c>
      <c r="BW24" s="22" t="n">
        <f aca="false">SUMPRODUCT(BW$8:BW$18,Roles!$D$18:$D$28)</f>
        <v>0</v>
      </c>
      <c r="BX24" s="22" t="n">
        <f aca="false">SUMPRODUCT(BX$8:BX$18,Roles!$D$18:$D$28)</f>
        <v>0</v>
      </c>
      <c r="BY24" s="22" t="n">
        <f aca="false">SUMPRODUCT(BY$8:BY$18,Roles!$D$18:$D$28)</f>
        <v>0</v>
      </c>
      <c r="BZ24" s="22" t="n">
        <f aca="false">SUMPRODUCT(BZ$8:BZ$18,Roles!$D$18:$D$28)</f>
        <v>0</v>
      </c>
      <c r="CA24" s="22" t="n">
        <f aca="false">SUMPRODUCT(CA$8:CA$18,Roles!$D$18:$D$28)</f>
        <v>0</v>
      </c>
      <c r="CB24" s="22" t="n">
        <f aca="false">SUMPRODUCT(CB$8:CB$18,Roles!$D$18:$D$28)</f>
        <v>0</v>
      </c>
      <c r="CC24" s="22" t="n">
        <f aca="false">SUMPRODUCT(CC$8:CC$18,Roles!$D$18:$D$28)</f>
        <v>0</v>
      </c>
      <c r="CD24" s="22" t="n">
        <f aca="false">SUMPRODUCT(CD$8:CD$18,Roles!$D$18:$D$28)</f>
        <v>0</v>
      </c>
      <c r="CE24" s="22" t="n">
        <f aca="false">SUMPRODUCT(CE$8:CE$18,Roles!$D$18:$D$28)</f>
        <v>0</v>
      </c>
      <c r="CF24" s="22" t="n">
        <f aca="false">SUMPRODUCT(CF$8:CF$18,Roles!$D$18:$D$28)</f>
        <v>0</v>
      </c>
      <c r="CG24" s="22" t="n">
        <f aca="false">SUMPRODUCT(CG$8:CG$18,Roles!$D$18:$D$28)</f>
        <v>0</v>
      </c>
      <c r="CH24" s="22" t="n">
        <f aca="false">SUMPRODUCT(CH$8:CH$18,Roles!$D$18:$D$28)</f>
        <v>0</v>
      </c>
      <c r="CI24" s="22" t="n">
        <f aca="false">SUMPRODUCT(CI$8:CI$18,Roles!$D$18:$D$28)</f>
        <v>0</v>
      </c>
      <c r="CJ24" s="22" t="n">
        <f aca="false">SUMPRODUCT(CJ$8:CJ$18,Roles!$D$18:$D$28)</f>
        <v>0</v>
      </c>
      <c r="CK24" s="22" t="n">
        <f aca="false">SUMPRODUCT(CK$8:CK$18,Roles!$D$18:$D$28)</f>
        <v>0</v>
      </c>
      <c r="CL24" s="22" t="n">
        <f aca="false">SUMPRODUCT(CL$8:CL$18,Roles!$D$18:$D$28)</f>
        <v>0</v>
      </c>
      <c r="CM24" s="22" t="n">
        <f aca="false">SUMPRODUCT(CM$8:CM$18,Roles!$D$18:$D$28)</f>
        <v>0</v>
      </c>
      <c r="CN24" s="22" t="n">
        <f aca="false">SUMPRODUCT(CN$8:CN$18,Roles!$D$18:$D$28)</f>
        <v>0</v>
      </c>
      <c r="CO24" s="22" t="n">
        <f aca="false">SUMPRODUCT(CO$8:CO$18,Roles!$D$18:$D$28)</f>
        <v>0</v>
      </c>
      <c r="CP24" s="22" t="n">
        <f aca="false">SUMPRODUCT(CP$8:CP$18,Roles!$D$18:$D$28)</f>
        <v>0</v>
      </c>
      <c r="CQ24" s="22" t="n">
        <f aca="false">SUMPRODUCT(CQ$8:CQ$18,Roles!$D$18:$D$28)</f>
        <v>0</v>
      </c>
      <c r="CR24" s="22" t="n">
        <f aca="false">SUMPRODUCT(CR$8:CR$18,Roles!$D$18:$D$28)</f>
        <v>0</v>
      </c>
      <c r="CS24" s="22" t="n">
        <f aca="false">SUMPRODUCT(CS$8:CS$18,Roles!$D$18:$D$28)</f>
        <v>0</v>
      </c>
      <c r="CT24" s="22" t="n">
        <f aca="false">SUMPRODUCT(CT$8:CT$18,Roles!$D$18:$D$28)</f>
        <v>0</v>
      </c>
      <c r="CU24" s="22" t="n">
        <f aca="false">SUMPRODUCT(CU$8:CU$18,Roles!$D$18:$D$28)</f>
        <v>0</v>
      </c>
      <c r="CV24" s="22" t="n">
        <f aca="false">SUMPRODUCT(CV$8:CV$18,Roles!$D$18:$D$28)</f>
        <v>0</v>
      </c>
      <c r="CW24" s="22" t="n">
        <f aca="false">SUMPRODUCT(CW$8:CW$18,Roles!$D$18:$D$28)</f>
        <v>0</v>
      </c>
      <c r="CX24" s="22" t="n">
        <f aca="false">SUMPRODUCT(CX$8:CX$18,Roles!$D$18:$D$28)</f>
        <v>0</v>
      </c>
      <c r="CY24" s="22" t="n">
        <f aca="false">SUMPRODUCT(CY$8:CY$18,Roles!$D$18:$D$28)</f>
        <v>0</v>
      </c>
      <c r="CZ24" s="22" t="n">
        <f aca="false">SUMPRODUCT(CZ$8:CZ$18,Roles!$D$18:$D$28)</f>
        <v>0</v>
      </c>
      <c r="DA24" s="22" t="n">
        <f aca="false">SUMPRODUCT(DA$8:DA$18,Roles!$D$18:$D$28)</f>
        <v>0</v>
      </c>
      <c r="DB24" s="22" t="n">
        <f aca="false">SUMPRODUCT(DB$8:DB$18,Roles!$D$18:$D$28)</f>
        <v>0</v>
      </c>
      <c r="DC24" s="22" t="n">
        <f aca="false">SUMPRODUCT(DC$8:DC$18,Roles!$D$18:$D$28)</f>
        <v>0</v>
      </c>
      <c r="DD24" s="22" t="n">
        <f aca="false">SUMPRODUCT(DD$8:DD$18,Roles!$D$18:$D$28)</f>
        <v>0</v>
      </c>
      <c r="DE24" s="22" t="n">
        <f aca="false">SUMPRODUCT(DE$8:DE$18,Roles!$D$18:$D$28)</f>
        <v>0</v>
      </c>
    </row>
    <row r="25" customFormat="false" ht="15" hidden="false" customHeight="false" outlineLevel="0" collapsed="false">
      <c r="A25" s="9" t="str">
        <f aca="false">Roles!B8</f>
        <v>Solution architect</v>
      </c>
      <c r="B25" s="2"/>
      <c r="C25" s="2"/>
      <c r="D25" s="22" t="n">
        <f aca="false">SUM(F25:DE25)</f>
        <v>259.1</v>
      </c>
      <c r="E25" s="2"/>
      <c r="F25" s="22" t="n">
        <f aca="false">SUMPRODUCT(F$8:F$18,Roles!$E$18:$E$28)</f>
        <v>34.65</v>
      </c>
      <c r="G25" s="22" t="n">
        <f aca="false">SUMPRODUCT(G$8:G$18,Roles!$E$18:$E$28)</f>
        <v>34.65</v>
      </c>
      <c r="H25" s="22" t="n">
        <f aca="false">SUMPRODUCT(H$8:H$18,Roles!$E$18:$E$28)</f>
        <v>34.65</v>
      </c>
      <c r="I25" s="22" t="n">
        <f aca="false">SUMPRODUCT(I$8:I$18,Roles!$E$18:$E$28)</f>
        <v>60.25</v>
      </c>
      <c r="J25" s="22" t="n">
        <f aca="false">SUMPRODUCT(J$8:J$18,Roles!$E$18:$E$28)</f>
        <v>60.25</v>
      </c>
      <c r="K25" s="22" t="n">
        <f aca="false">SUMPRODUCT(K$8:K$18,Roles!$E$18:$E$28)</f>
        <v>34.65</v>
      </c>
      <c r="L25" s="22" t="n">
        <f aca="false">SUMPRODUCT(L$8:L$18,Roles!$E$18:$E$28)</f>
        <v>0</v>
      </c>
      <c r="M25" s="22" t="n">
        <f aca="false">SUMPRODUCT(M$8:M$18,Roles!$E$18:$E$28)</f>
        <v>0</v>
      </c>
      <c r="N25" s="22" t="n">
        <f aca="false">SUMPRODUCT(N$8:N$18,Roles!$E$18:$E$28)</f>
        <v>0</v>
      </c>
      <c r="O25" s="22" t="n">
        <f aca="false">SUMPRODUCT(O$8:O$18,Roles!$E$18:$E$28)</f>
        <v>0</v>
      </c>
      <c r="P25" s="22" t="n">
        <f aca="false">SUMPRODUCT(P$8:P$18,Roles!$E$18:$E$28)</f>
        <v>0</v>
      </c>
      <c r="Q25" s="22" t="n">
        <f aca="false">SUMPRODUCT(Q$8:Q$18,Roles!$E$18:$E$28)</f>
        <v>0</v>
      </c>
      <c r="R25" s="22" t="n">
        <f aca="false">SUMPRODUCT(R$8:R$18,Roles!$E$18:$E$28)</f>
        <v>0</v>
      </c>
      <c r="S25" s="22" t="n">
        <f aca="false">SUMPRODUCT(S$8:S$18,Roles!$E$18:$E$28)</f>
        <v>0</v>
      </c>
      <c r="T25" s="22" t="n">
        <f aca="false">SUMPRODUCT(T$8:T$18,Roles!$E$18:$E$28)</f>
        <v>0</v>
      </c>
      <c r="U25" s="22" t="n">
        <f aca="false">SUMPRODUCT(U$8:U$18,Roles!$E$18:$E$28)</f>
        <v>0</v>
      </c>
      <c r="V25" s="22" t="n">
        <f aca="false">SUMPRODUCT(V$8:V$18,Roles!$E$18:$E$28)</f>
        <v>0</v>
      </c>
      <c r="W25" s="22" t="n">
        <f aca="false">SUMPRODUCT(W$8:W$18,Roles!$E$18:$E$28)</f>
        <v>0</v>
      </c>
      <c r="X25" s="22" t="n">
        <f aca="false">SUMPRODUCT(X$8:X$18,Roles!$E$18:$E$28)</f>
        <v>0</v>
      </c>
      <c r="Y25" s="22" t="n">
        <f aca="false">SUMPRODUCT(Y$8:Y$18,Roles!$E$18:$E$28)</f>
        <v>0</v>
      </c>
      <c r="Z25" s="22" t="n">
        <f aca="false">SUMPRODUCT(Z$8:Z$18,Roles!$E$18:$E$28)</f>
        <v>0</v>
      </c>
      <c r="AA25" s="22" t="n">
        <f aca="false">SUMPRODUCT(AA$8:AA$18,Roles!$E$18:$E$28)</f>
        <v>0</v>
      </c>
      <c r="AB25" s="22" t="n">
        <f aca="false">SUMPRODUCT(AB$8:AB$18,Roles!$E$18:$E$28)</f>
        <v>0</v>
      </c>
      <c r="AC25" s="22" t="n">
        <f aca="false">SUMPRODUCT(AC$8:AC$18,Roles!$E$18:$E$28)</f>
        <v>0</v>
      </c>
      <c r="AD25" s="22" t="n">
        <f aca="false">SUMPRODUCT(AD$8:AD$18,Roles!$E$18:$E$28)</f>
        <v>0</v>
      </c>
      <c r="AE25" s="22" t="n">
        <f aca="false">SUMPRODUCT(AE$8:AE$18,Roles!$E$18:$E$28)</f>
        <v>0</v>
      </c>
      <c r="AF25" s="22" t="n">
        <f aca="false">SUMPRODUCT(AF$8:AF$18,Roles!$E$18:$E$28)</f>
        <v>0</v>
      </c>
      <c r="AG25" s="22" t="n">
        <f aca="false">SUMPRODUCT(AG$8:AG$18,Roles!$E$18:$E$28)</f>
        <v>0</v>
      </c>
      <c r="AH25" s="22" t="n">
        <f aca="false">SUMPRODUCT(AH$8:AH$18,Roles!$E$18:$E$28)</f>
        <v>0</v>
      </c>
      <c r="AI25" s="22" t="n">
        <f aca="false">SUMPRODUCT(AI$8:AI$18,Roles!$E$18:$E$28)</f>
        <v>0</v>
      </c>
      <c r="AJ25" s="22" t="n">
        <f aca="false">SUMPRODUCT(AJ$8:AJ$18,Roles!$E$18:$E$28)</f>
        <v>0</v>
      </c>
      <c r="AK25" s="22" t="n">
        <f aca="false">SUMPRODUCT(AK$8:AK$18,Roles!$E$18:$E$28)</f>
        <v>0</v>
      </c>
      <c r="AL25" s="22" t="n">
        <f aca="false">SUMPRODUCT(AL$8:AL$18,Roles!$E$18:$E$28)</f>
        <v>0</v>
      </c>
      <c r="AM25" s="22" t="n">
        <f aca="false">SUMPRODUCT(AM$8:AM$18,Roles!$E$18:$E$28)</f>
        <v>0</v>
      </c>
      <c r="AN25" s="22" t="n">
        <f aca="false">SUMPRODUCT(AN$8:AN$18,Roles!$E$18:$E$28)</f>
        <v>0</v>
      </c>
      <c r="AO25" s="22" t="n">
        <f aca="false">SUMPRODUCT(AO$8:AO$18,Roles!$E$18:$E$28)</f>
        <v>0</v>
      </c>
      <c r="AP25" s="22" t="n">
        <f aca="false">SUMPRODUCT(AP$8:AP$18,Roles!$E$18:$E$28)</f>
        <v>0</v>
      </c>
      <c r="AQ25" s="22" t="n">
        <f aca="false">SUMPRODUCT(AQ$8:AQ$18,Roles!$E$18:$E$28)</f>
        <v>0</v>
      </c>
      <c r="AR25" s="22" t="n">
        <f aca="false">SUMPRODUCT(AR$8:AR$18,Roles!$E$18:$E$28)</f>
        <v>0</v>
      </c>
      <c r="AS25" s="22" t="n">
        <f aca="false">SUMPRODUCT(AS$8:AS$18,Roles!$E$18:$E$28)</f>
        <v>0</v>
      </c>
      <c r="AT25" s="22" t="n">
        <f aca="false">SUMPRODUCT(AT$8:AT$18,Roles!$E$18:$E$28)</f>
        <v>0</v>
      </c>
      <c r="AU25" s="22" t="n">
        <f aca="false">SUMPRODUCT(AU$8:AU$18,Roles!$E$18:$E$28)</f>
        <v>0</v>
      </c>
      <c r="AV25" s="22" t="n">
        <f aca="false">SUMPRODUCT(AV$8:AV$18,Roles!$E$18:$E$28)</f>
        <v>0</v>
      </c>
      <c r="AW25" s="22" t="n">
        <f aca="false">SUMPRODUCT(AW$8:AW$18,Roles!$E$18:$E$28)</f>
        <v>0</v>
      </c>
      <c r="AX25" s="22" t="n">
        <f aca="false">SUMPRODUCT(AX$8:AX$18,Roles!$E$18:$E$28)</f>
        <v>0</v>
      </c>
      <c r="AY25" s="22" t="n">
        <f aca="false">SUMPRODUCT(AY$8:AY$18,Roles!$E$18:$E$28)</f>
        <v>0</v>
      </c>
      <c r="AZ25" s="22" t="n">
        <f aca="false">SUMPRODUCT(AZ$8:AZ$18,Roles!$E$18:$E$28)</f>
        <v>0</v>
      </c>
      <c r="BA25" s="22" t="n">
        <f aca="false">SUMPRODUCT(BA$8:BA$18,Roles!$E$18:$E$28)</f>
        <v>0</v>
      </c>
      <c r="BB25" s="22" t="n">
        <f aca="false">SUMPRODUCT(BB$8:BB$18,Roles!$E$18:$E$28)</f>
        <v>0</v>
      </c>
      <c r="BC25" s="22" t="n">
        <f aca="false">SUMPRODUCT(BC$8:BC$18,Roles!$E$18:$E$28)</f>
        <v>0</v>
      </c>
      <c r="BD25" s="22" t="n">
        <f aca="false">SUMPRODUCT(BD$8:BD$18,Roles!$E$18:$E$28)</f>
        <v>0</v>
      </c>
      <c r="BE25" s="22" t="n">
        <f aca="false">SUMPRODUCT(BE$8:BE$18,Roles!$E$18:$E$28)</f>
        <v>0</v>
      </c>
      <c r="BF25" s="22" t="n">
        <f aca="false">SUMPRODUCT(BF$8:BF$18,Roles!$E$18:$E$28)</f>
        <v>0</v>
      </c>
      <c r="BG25" s="22" t="n">
        <f aca="false">SUMPRODUCT(BG$8:BG$18,Roles!$E$18:$E$28)</f>
        <v>0</v>
      </c>
      <c r="BH25" s="22" t="n">
        <f aca="false">SUMPRODUCT(BH$8:BH$18,Roles!$E$18:$E$28)</f>
        <v>0</v>
      </c>
      <c r="BI25" s="22" t="n">
        <f aca="false">SUMPRODUCT(BI$8:BI$18,Roles!$E$18:$E$28)</f>
        <v>0</v>
      </c>
      <c r="BJ25" s="22" t="n">
        <f aca="false">SUMPRODUCT(BJ$8:BJ$18,Roles!$E$18:$E$28)</f>
        <v>0</v>
      </c>
      <c r="BK25" s="22" t="n">
        <f aca="false">SUMPRODUCT(BK$8:BK$18,Roles!$E$18:$E$28)</f>
        <v>0</v>
      </c>
      <c r="BL25" s="22" t="n">
        <f aca="false">SUMPRODUCT(BL$8:BL$18,Roles!$E$18:$E$28)</f>
        <v>0</v>
      </c>
      <c r="BM25" s="22" t="n">
        <f aca="false">SUMPRODUCT(BM$8:BM$18,Roles!$E$18:$E$28)</f>
        <v>0</v>
      </c>
      <c r="BN25" s="22" t="n">
        <f aca="false">SUMPRODUCT(BN$8:BN$18,Roles!$E$18:$E$28)</f>
        <v>0</v>
      </c>
      <c r="BO25" s="22" t="n">
        <f aca="false">SUMPRODUCT(BO$8:BO$18,Roles!$E$18:$E$28)</f>
        <v>0</v>
      </c>
      <c r="BP25" s="22" t="n">
        <f aca="false">SUMPRODUCT(BP$8:BP$18,Roles!$E$18:$E$28)</f>
        <v>0</v>
      </c>
      <c r="BQ25" s="22" t="n">
        <f aca="false">SUMPRODUCT(BQ$8:BQ$18,Roles!$E$18:$E$28)</f>
        <v>0</v>
      </c>
      <c r="BR25" s="22" t="n">
        <f aca="false">SUMPRODUCT(BR$8:BR$18,Roles!$E$18:$E$28)</f>
        <v>0</v>
      </c>
      <c r="BS25" s="22" t="n">
        <f aca="false">SUMPRODUCT(BS$8:BS$18,Roles!$E$18:$E$28)</f>
        <v>0</v>
      </c>
      <c r="BT25" s="22" t="n">
        <f aca="false">SUMPRODUCT(BT$8:BT$18,Roles!$E$18:$E$28)</f>
        <v>0</v>
      </c>
      <c r="BU25" s="22" t="n">
        <f aca="false">SUMPRODUCT(BU$8:BU$18,Roles!$E$18:$E$28)</f>
        <v>0</v>
      </c>
      <c r="BV25" s="22" t="n">
        <f aca="false">SUMPRODUCT(BV$8:BV$18,Roles!$E$18:$E$28)</f>
        <v>0</v>
      </c>
      <c r="BW25" s="22" t="n">
        <f aca="false">SUMPRODUCT(BW$8:BW$18,Roles!$E$18:$E$28)</f>
        <v>0</v>
      </c>
      <c r="BX25" s="22" t="n">
        <f aca="false">SUMPRODUCT(BX$8:BX$18,Roles!$E$18:$E$28)</f>
        <v>0</v>
      </c>
      <c r="BY25" s="22" t="n">
        <f aca="false">SUMPRODUCT(BY$8:BY$18,Roles!$E$18:$E$28)</f>
        <v>0</v>
      </c>
      <c r="BZ25" s="22" t="n">
        <f aca="false">SUMPRODUCT(BZ$8:BZ$18,Roles!$E$18:$E$28)</f>
        <v>0</v>
      </c>
      <c r="CA25" s="22" t="n">
        <f aca="false">SUMPRODUCT(CA$8:CA$18,Roles!$E$18:$E$28)</f>
        <v>0</v>
      </c>
      <c r="CB25" s="22" t="n">
        <f aca="false">SUMPRODUCT(CB$8:CB$18,Roles!$E$18:$E$28)</f>
        <v>0</v>
      </c>
      <c r="CC25" s="22" t="n">
        <f aca="false">SUMPRODUCT(CC$8:CC$18,Roles!$E$18:$E$28)</f>
        <v>0</v>
      </c>
      <c r="CD25" s="22" t="n">
        <f aca="false">SUMPRODUCT(CD$8:CD$18,Roles!$E$18:$E$28)</f>
        <v>0</v>
      </c>
      <c r="CE25" s="22" t="n">
        <f aca="false">SUMPRODUCT(CE$8:CE$18,Roles!$E$18:$E$28)</f>
        <v>0</v>
      </c>
      <c r="CF25" s="22" t="n">
        <f aca="false">SUMPRODUCT(CF$8:CF$18,Roles!$E$18:$E$28)</f>
        <v>0</v>
      </c>
      <c r="CG25" s="22" t="n">
        <f aca="false">SUMPRODUCT(CG$8:CG$18,Roles!$E$18:$E$28)</f>
        <v>0</v>
      </c>
      <c r="CH25" s="22" t="n">
        <f aca="false">SUMPRODUCT(CH$8:CH$18,Roles!$E$18:$E$28)</f>
        <v>0</v>
      </c>
      <c r="CI25" s="22" t="n">
        <f aca="false">SUMPRODUCT(CI$8:CI$18,Roles!$E$18:$E$28)</f>
        <v>0</v>
      </c>
      <c r="CJ25" s="22" t="n">
        <f aca="false">SUMPRODUCT(CJ$8:CJ$18,Roles!$E$18:$E$28)</f>
        <v>0</v>
      </c>
      <c r="CK25" s="22" t="n">
        <f aca="false">SUMPRODUCT(CK$8:CK$18,Roles!$E$18:$E$28)</f>
        <v>0</v>
      </c>
      <c r="CL25" s="22" t="n">
        <f aca="false">SUMPRODUCT(CL$8:CL$18,Roles!$E$18:$E$28)</f>
        <v>0</v>
      </c>
      <c r="CM25" s="22" t="n">
        <f aca="false">SUMPRODUCT(CM$8:CM$18,Roles!$E$18:$E$28)</f>
        <v>0</v>
      </c>
      <c r="CN25" s="22" t="n">
        <f aca="false">SUMPRODUCT(CN$8:CN$18,Roles!$E$18:$E$28)</f>
        <v>0</v>
      </c>
      <c r="CO25" s="22" t="n">
        <f aca="false">SUMPRODUCT(CO$8:CO$18,Roles!$E$18:$E$28)</f>
        <v>0</v>
      </c>
      <c r="CP25" s="22" t="n">
        <f aca="false">SUMPRODUCT(CP$8:CP$18,Roles!$E$18:$E$28)</f>
        <v>0</v>
      </c>
      <c r="CQ25" s="22" t="n">
        <f aca="false">SUMPRODUCT(CQ$8:CQ$18,Roles!$E$18:$E$28)</f>
        <v>0</v>
      </c>
      <c r="CR25" s="22" t="n">
        <f aca="false">SUMPRODUCT(CR$8:CR$18,Roles!$E$18:$E$28)</f>
        <v>0</v>
      </c>
      <c r="CS25" s="22" t="n">
        <f aca="false">SUMPRODUCT(CS$8:CS$18,Roles!$E$18:$E$28)</f>
        <v>0</v>
      </c>
      <c r="CT25" s="22" t="n">
        <f aca="false">SUMPRODUCT(CT$8:CT$18,Roles!$E$18:$E$28)</f>
        <v>0</v>
      </c>
      <c r="CU25" s="22" t="n">
        <f aca="false">SUMPRODUCT(CU$8:CU$18,Roles!$E$18:$E$28)</f>
        <v>0</v>
      </c>
      <c r="CV25" s="22" t="n">
        <f aca="false">SUMPRODUCT(CV$8:CV$18,Roles!$E$18:$E$28)</f>
        <v>0</v>
      </c>
      <c r="CW25" s="22" t="n">
        <f aca="false">SUMPRODUCT(CW$8:CW$18,Roles!$E$18:$E$28)</f>
        <v>0</v>
      </c>
      <c r="CX25" s="22" t="n">
        <f aca="false">SUMPRODUCT(CX$8:CX$18,Roles!$E$18:$E$28)</f>
        <v>0</v>
      </c>
      <c r="CY25" s="22" t="n">
        <f aca="false">SUMPRODUCT(CY$8:CY$18,Roles!$E$18:$E$28)</f>
        <v>0</v>
      </c>
      <c r="CZ25" s="22" t="n">
        <f aca="false">SUMPRODUCT(CZ$8:CZ$18,Roles!$E$18:$E$28)</f>
        <v>0</v>
      </c>
      <c r="DA25" s="22" t="n">
        <f aca="false">SUMPRODUCT(DA$8:DA$18,Roles!$E$18:$E$28)</f>
        <v>0</v>
      </c>
      <c r="DB25" s="22" t="n">
        <f aca="false">SUMPRODUCT(DB$8:DB$18,Roles!$E$18:$E$28)</f>
        <v>0</v>
      </c>
      <c r="DC25" s="22" t="n">
        <f aca="false">SUMPRODUCT(DC$8:DC$18,Roles!$E$18:$E$28)</f>
        <v>0</v>
      </c>
      <c r="DD25" s="22" t="n">
        <f aca="false">SUMPRODUCT(DD$8:DD$18,Roles!$E$18:$E$28)</f>
        <v>0</v>
      </c>
      <c r="DE25" s="22" t="n">
        <f aca="false">SUMPRODUCT(DE$8:DE$18,Roles!$E$18:$E$28)</f>
        <v>0</v>
      </c>
    </row>
    <row r="26" customFormat="false" ht="15" hidden="false" customHeight="false" outlineLevel="0" collapsed="false">
      <c r="A26" s="9" t="str">
        <f aca="false">Roles!B9</f>
        <v>BI architect</v>
      </c>
      <c r="B26" s="2"/>
      <c r="C26" s="2"/>
      <c r="D26" s="22" t="n">
        <f aca="false">SUM(F26:DE26)</f>
        <v>765.891</v>
      </c>
      <c r="E26" s="2"/>
      <c r="F26" s="22" t="n">
        <f aca="false">SUMPRODUCT(F$8:F$18,Roles!$F$18:$F$28)</f>
        <v>34.65</v>
      </c>
      <c r="G26" s="22" t="n">
        <f aca="false">SUMPRODUCT(G$8:G$18,Roles!$F$18:$F$28)</f>
        <v>34.65</v>
      </c>
      <c r="H26" s="22" t="n">
        <f aca="false">SUMPRODUCT(H$8:H$18,Roles!$F$18:$F$28)</f>
        <v>34.65</v>
      </c>
      <c r="I26" s="22" t="n">
        <f aca="false">SUMPRODUCT(I$8:I$18,Roles!$F$18:$F$28)</f>
        <v>57.05</v>
      </c>
      <c r="J26" s="22" t="n">
        <f aca="false">SUMPRODUCT(J$8:J$18,Roles!$F$18:$F$28)</f>
        <v>57.05</v>
      </c>
      <c r="K26" s="22" t="n">
        <f aca="false">SUMPRODUCT(K$8:K$18,Roles!$F$18:$F$28)</f>
        <v>34.65</v>
      </c>
      <c r="L26" s="22" t="n">
        <f aca="false">SUMPRODUCT(L$8:L$18,Roles!$F$18:$F$28)</f>
        <v>29.72425</v>
      </c>
      <c r="M26" s="22" t="n">
        <f aca="false">SUMPRODUCT(M$8:M$18,Roles!$F$18:$F$28)</f>
        <v>29.72425</v>
      </c>
      <c r="N26" s="22" t="n">
        <f aca="false">SUMPRODUCT(N$8:N$18,Roles!$F$18:$F$28)</f>
        <v>36.33425</v>
      </c>
      <c r="O26" s="22" t="n">
        <f aca="false">SUMPRODUCT(O$8:O$18,Roles!$F$18:$F$28)</f>
        <v>36.33425</v>
      </c>
      <c r="P26" s="22" t="n">
        <f aca="false">SUMPRODUCT(P$8:P$18,Roles!$F$18:$F$28)</f>
        <v>36.33425</v>
      </c>
      <c r="Q26" s="22" t="n">
        <f aca="false">SUMPRODUCT(Q$8:Q$18,Roles!$F$18:$F$28)</f>
        <v>36.33425</v>
      </c>
      <c r="R26" s="22" t="n">
        <f aca="false">SUMPRODUCT(R$8:R$18,Roles!$F$18:$F$28)</f>
        <v>36.33425</v>
      </c>
      <c r="S26" s="22" t="n">
        <f aca="false">SUMPRODUCT(S$8:S$18,Roles!$F$18:$F$28)</f>
        <v>36.33425</v>
      </c>
      <c r="T26" s="22" t="n">
        <f aca="false">SUMPRODUCT(T$8:T$18,Roles!$F$18:$F$28)</f>
        <v>36.33425</v>
      </c>
      <c r="U26" s="22" t="n">
        <f aca="false">SUMPRODUCT(U$8:U$18,Roles!$F$18:$F$28)</f>
        <v>36.33425</v>
      </c>
      <c r="V26" s="22" t="n">
        <f aca="false">SUMPRODUCT(V$8:V$18,Roles!$F$18:$F$28)</f>
        <v>36.33425</v>
      </c>
      <c r="W26" s="22" t="n">
        <f aca="false">SUMPRODUCT(W$8:W$18,Roles!$F$18:$F$28)</f>
        <v>36.33425</v>
      </c>
      <c r="X26" s="22" t="n">
        <f aca="false">SUMPRODUCT(X$8:X$18,Roles!$F$18:$F$28)</f>
        <v>6.61</v>
      </c>
      <c r="Y26" s="22" t="n">
        <f aca="false">SUMPRODUCT(Y$8:Y$18,Roles!$F$18:$F$28)</f>
        <v>6.61</v>
      </c>
      <c r="Z26" s="22" t="n">
        <f aca="false">SUMPRODUCT(Z$8:Z$18,Roles!$F$18:$F$28)</f>
        <v>6.61</v>
      </c>
      <c r="AA26" s="22" t="n">
        <f aca="false">SUMPRODUCT(AA$8:AA$18,Roles!$F$18:$F$28)</f>
        <v>6.61</v>
      </c>
      <c r="AB26" s="22" t="n">
        <f aca="false">SUMPRODUCT(AB$8:AB$18,Roles!$F$18:$F$28)</f>
        <v>6.61</v>
      </c>
      <c r="AC26" s="22" t="n">
        <f aca="false">SUMPRODUCT(AC$8:AC$18,Roles!$F$18:$F$28)</f>
        <v>6.61</v>
      </c>
      <c r="AD26" s="22" t="n">
        <f aca="false">SUMPRODUCT(AD$8:AD$18,Roles!$F$18:$F$28)</f>
        <v>6.61</v>
      </c>
      <c r="AE26" s="22" t="n">
        <f aca="false">SUMPRODUCT(AE$8:AE$18,Roles!$F$18:$F$28)</f>
        <v>6.61</v>
      </c>
      <c r="AF26" s="22" t="n">
        <f aca="false">SUMPRODUCT(AF$8:AF$18,Roles!$F$18:$F$28)</f>
        <v>6.61</v>
      </c>
      <c r="AG26" s="22" t="n">
        <f aca="false">SUMPRODUCT(AG$8:AG$18,Roles!$F$18:$F$28)</f>
        <v>6.61</v>
      </c>
      <c r="AH26" s="22" t="n">
        <f aca="false">SUMPRODUCT(AH$8:AH$18,Roles!$F$18:$F$28)</f>
        <v>4.05</v>
      </c>
      <c r="AI26" s="22" t="n">
        <f aca="false">SUMPRODUCT(AI$8:AI$18,Roles!$F$18:$F$28)</f>
        <v>4.05</v>
      </c>
      <c r="AJ26" s="22" t="n">
        <f aca="false">SUMPRODUCT(AJ$8:AJ$18,Roles!$F$18:$F$28)</f>
        <v>4.05</v>
      </c>
      <c r="AK26" s="22" t="n">
        <f aca="false">SUMPRODUCT(AK$8:AK$18,Roles!$F$18:$F$28)</f>
        <v>4.05</v>
      </c>
      <c r="AL26" s="22" t="n">
        <f aca="false">SUMPRODUCT(AL$8:AL$18,Roles!$F$18:$F$28)</f>
        <v>4.05</v>
      </c>
      <c r="AM26" s="22" t="n">
        <f aca="false">SUMPRODUCT(AM$8:AM$18,Roles!$F$18:$F$28)</f>
        <v>4.05</v>
      </c>
      <c r="AN26" s="22" t="n">
        <f aca="false">SUMPRODUCT(AN$8:AN$18,Roles!$F$18:$F$28)</f>
        <v>0</v>
      </c>
      <c r="AO26" s="22" t="n">
        <f aca="false">SUMPRODUCT(AO$8:AO$18,Roles!$F$18:$F$28)</f>
        <v>0</v>
      </c>
      <c r="AP26" s="22" t="n">
        <f aca="false">SUMPRODUCT(AP$8:AP$18,Roles!$F$18:$F$28)</f>
        <v>0</v>
      </c>
      <c r="AQ26" s="22" t="n">
        <f aca="false">SUMPRODUCT(AQ$8:AQ$18,Roles!$F$18:$F$28)</f>
        <v>0</v>
      </c>
      <c r="AR26" s="22" t="n">
        <f aca="false">SUMPRODUCT(AR$8:AR$18,Roles!$F$18:$F$28)</f>
        <v>0</v>
      </c>
      <c r="AS26" s="22" t="n">
        <f aca="false">SUMPRODUCT(AS$8:AS$18,Roles!$F$18:$F$28)</f>
        <v>0</v>
      </c>
      <c r="AT26" s="22" t="n">
        <f aca="false">SUMPRODUCT(AT$8:AT$18,Roles!$F$18:$F$28)</f>
        <v>0</v>
      </c>
      <c r="AU26" s="22" t="n">
        <f aca="false">SUMPRODUCT(AU$8:AU$18,Roles!$F$18:$F$28)</f>
        <v>0</v>
      </c>
      <c r="AV26" s="22" t="n">
        <f aca="false">SUMPRODUCT(AV$8:AV$18,Roles!$F$18:$F$28)</f>
        <v>0</v>
      </c>
      <c r="AW26" s="22" t="n">
        <f aca="false">SUMPRODUCT(AW$8:AW$18,Roles!$F$18:$F$28)</f>
        <v>0</v>
      </c>
      <c r="AX26" s="22" t="n">
        <f aca="false">SUMPRODUCT(AX$8:AX$18,Roles!$F$18:$F$28)</f>
        <v>0</v>
      </c>
      <c r="AY26" s="22" t="n">
        <f aca="false">SUMPRODUCT(AY$8:AY$18,Roles!$F$18:$F$28)</f>
        <v>0</v>
      </c>
      <c r="AZ26" s="22" t="n">
        <f aca="false">SUMPRODUCT(AZ$8:AZ$18,Roles!$F$18:$F$28)</f>
        <v>0</v>
      </c>
      <c r="BA26" s="22" t="n">
        <f aca="false">SUMPRODUCT(BA$8:BA$18,Roles!$F$18:$F$28)</f>
        <v>0</v>
      </c>
      <c r="BB26" s="22" t="n">
        <f aca="false">SUMPRODUCT(BB$8:BB$18,Roles!$F$18:$F$28)</f>
        <v>0</v>
      </c>
      <c r="BC26" s="22" t="n">
        <f aca="false">SUMPRODUCT(BC$8:BC$18,Roles!$F$18:$F$28)</f>
        <v>0</v>
      </c>
      <c r="BD26" s="22" t="n">
        <f aca="false">SUMPRODUCT(BD$8:BD$18,Roles!$F$18:$F$28)</f>
        <v>0</v>
      </c>
      <c r="BE26" s="22" t="n">
        <f aca="false">SUMPRODUCT(BE$8:BE$18,Roles!$F$18:$F$28)</f>
        <v>0</v>
      </c>
      <c r="BF26" s="22" t="n">
        <f aca="false">SUMPRODUCT(BF$8:BF$18,Roles!$F$18:$F$28)</f>
        <v>0</v>
      </c>
      <c r="BG26" s="22" t="n">
        <f aca="false">SUMPRODUCT(BG$8:BG$18,Roles!$F$18:$F$28)</f>
        <v>0</v>
      </c>
      <c r="BH26" s="22" t="n">
        <f aca="false">SUMPRODUCT(BH$8:BH$18,Roles!$F$18:$F$28)</f>
        <v>0</v>
      </c>
      <c r="BI26" s="22" t="n">
        <f aca="false">SUMPRODUCT(BI$8:BI$18,Roles!$F$18:$F$28)</f>
        <v>0</v>
      </c>
      <c r="BJ26" s="22" t="n">
        <f aca="false">SUMPRODUCT(BJ$8:BJ$18,Roles!$F$18:$F$28)</f>
        <v>0</v>
      </c>
      <c r="BK26" s="22" t="n">
        <f aca="false">SUMPRODUCT(BK$8:BK$18,Roles!$F$18:$F$28)</f>
        <v>0</v>
      </c>
      <c r="BL26" s="22" t="n">
        <f aca="false">SUMPRODUCT(BL$8:BL$18,Roles!$F$18:$F$28)</f>
        <v>0</v>
      </c>
      <c r="BM26" s="22" t="n">
        <f aca="false">SUMPRODUCT(BM$8:BM$18,Roles!$F$18:$F$28)</f>
        <v>0</v>
      </c>
      <c r="BN26" s="22" t="n">
        <f aca="false">SUMPRODUCT(BN$8:BN$18,Roles!$F$18:$F$28)</f>
        <v>0</v>
      </c>
      <c r="BO26" s="22" t="n">
        <f aca="false">SUMPRODUCT(BO$8:BO$18,Roles!$F$18:$F$28)</f>
        <v>0</v>
      </c>
      <c r="BP26" s="22" t="n">
        <f aca="false">SUMPRODUCT(BP$8:BP$18,Roles!$F$18:$F$28)</f>
        <v>0</v>
      </c>
      <c r="BQ26" s="22" t="n">
        <f aca="false">SUMPRODUCT(BQ$8:BQ$18,Roles!$F$18:$F$28)</f>
        <v>0</v>
      </c>
      <c r="BR26" s="22" t="n">
        <f aca="false">SUMPRODUCT(BR$8:BR$18,Roles!$F$18:$F$28)</f>
        <v>0</v>
      </c>
      <c r="BS26" s="22" t="n">
        <f aca="false">SUMPRODUCT(BS$8:BS$18,Roles!$F$18:$F$28)</f>
        <v>0</v>
      </c>
      <c r="BT26" s="22" t="n">
        <f aca="false">SUMPRODUCT(BT$8:BT$18,Roles!$F$18:$F$28)</f>
        <v>0</v>
      </c>
      <c r="BU26" s="22" t="n">
        <f aca="false">SUMPRODUCT(BU$8:BU$18,Roles!$F$18:$F$28)</f>
        <v>0</v>
      </c>
      <c r="BV26" s="22" t="n">
        <f aca="false">SUMPRODUCT(BV$8:BV$18,Roles!$F$18:$F$28)</f>
        <v>0</v>
      </c>
      <c r="BW26" s="22" t="n">
        <f aca="false">SUMPRODUCT(BW$8:BW$18,Roles!$F$18:$F$28)</f>
        <v>0</v>
      </c>
      <c r="BX26" s="22" t="n">
        <f aca="false">SUMPRODUCT(BX$8:BX$18,Roles!$F$18:$F$28)</f>
        <v>0</v>
      </c>
      <c r="BY26" s="22" t="n">
        <f aca="false">SUMPRODUCT(BY$8:BY$18,Roles!$F$18:$F$28)</f>
        <v>0</v>
      </c>
      <c r="BZ26" s="22" t="n">
        <f aca="false">SUMPRODUCT(BZ$8:BZ$18,Roles!$F$18:$F$28)</f>
        <v>0</v>
      </c>
      <c r="CA26" s="22" t="n">
        <f aca="false">SUMPRODUCT(CA$8:CA$18,Roles!$F$18:$F$28)</f>
        <v>0</v>
      </c>
      <c r="CB26" s="22" t="n">
        <f aca="false">SUMPRODUCT(CB$8:CB$18,Roles!$F$18:$F$28)</f>
        <v>0</v>
      </c>
      <c r="CC26" s="22" t="n">
        <f aca="false">SUMPRODUCT(CC$8:CC$18,Roles!$F$18:$F$28)</f>
        <v>0</v>
      </c>
      <c r="CD26" s="22" t="n">
        <f aca="false">SUMPRODUCT(CD$8:CD$18,Roles!$F$18:$F$28)</f>
        <v>0</v>
      </c>
      <c r="CE26" s="22" t="n">
        <f aca="false">SUMPRODUCT(CE$8:CE$18,Roles!$F$18:$F$28)</f>
        <v>0</v>
      </c>
      <c r="CF26" s="22" t="n">
        <f aca="false">SUMPRODUCT(CF$8:CF$18,Roles!$F$18:$F$28)</f>
        <v>0</v>
      </c>
      <c r="CG26" s="22" t="n">
        <f aca="false">SUMPRODUCT(CG$8:CG$18,Roles!$F$18:$F$28)</f>
        <v>0</v>
      </c>
      <c r="CH26" s="22" t="n">
        <f aca="false">SUMPRODUCT(CH$8:CH$18,Roles!$F$18:$F$28)</f>
        <v>0</v>
      </c>
      <c r="CI26" s="22" t="n">
        <f aca="false">SUMPRODUCT(CI$8:CI$18,Roles!$F$18:$F$28)</f>
        <v>0</v>
      </c>
      <c r="CJ26" s="22" t="n">
        <f aca="false">SUMPRODUCT(CJ$8:CJ$18,Roles!$F$18:$F$28)</f>
        <v>0</v>
      </c>
      <c r="CK26" s="22" t="n">
        <f aca="false">SUMPRODUCT(CK$8:CK$18,Roles!$F$18:$F$28)</f>
        <v>0</v>
      </c>
      <c r="CL26" s="22" t="n">
        <f aca="false">SUMPRODUCT(CL$8:CL$18,Roles!$F$18:$F$28)</f>
        <v>0</v>
      </c>
      <c r="CM26" s="22" t="n">
        <f aca="false">SUMPRODUCT(CM$8:CM$18,Roles!$F$18:$F$28)</f>
        <v>0</v>
      </c>
      <c r="CN26" s="22" t="n">
        <f aca="false">SUMPRODUCT(CN$8:CN$18,Roles!$F$18:$F$28)</f>
        <v>0</v>
      </c>
      <c r="CO26" s="22" t="n">
        <f aca="false">SUMPRODUCT(CO$8:CO$18,Roles!$F$18:$F$28)</f>
        <v>0</v>
      </c>
      <c r="CP26" s="22" t="n">
        <f aca="false">SUMPRODUCT(CP$8:CP$18,Roles!$F$18:$F$28)</f>
        <v>0</v>
      </c>
      <c r="CQ26" s="22" t="n">
        <f aca="false">SUMPRODUCT(CQ$8:CQ$18,Roles!$F$18:$F$28)</f>
        <v>0</v>
      </c>
      <c r="CR26" s="22" t="n">
        <f aca="false">SUMPRODUCT(CR$8:CR$18,Roles!$F$18:$F$28)</f>
        <v>0</v>
      </c>
      <c r="CS26" s="22" t="n">
        <f aca="false">SUMPRODUCT(CS$8:CS$18,Roles!$F$18:$F$28)</f>
        <v>0</v>
      </c>
      <c r="CT26" s="22" t="n">
        <f aca="false">SUMPRODUCT(CT$8:CT$18,Roles!$F$18:$F$28)</f>
        <v>0</v>
      </c>
      <c r="CU26" s="22" t="n">
        <f aca="false">SUMPRODUCT(CU$8:CU$18,Roles!$F$18:$F$28)</f>
        <v>0</v>
      </c>
      <c r="CV26" s="22" t="n">
        <f aca="false">SUMPRODUCT(CV$8:CV$18,Roles!$F$18:$F$28)</f>
        <v>0</v>
      </c>
      <c r="CW26" s="22" t="n">
        <f aca="false">SUMPRODUCT(CW$8:CW$18,Roles!$F$18:$F$28)</f>
        <v>0</v>
      </c>
      <c r="CX26" s="22" t="n">
        <f aca="false">SUMPRODUCT(CX$8:CX$18,Roles!$F$18:$F$28)</f>
        <v>0</v>
      </c>
      <c r="CY26" s="22" t="n">
        <f aca="false">SUMPRODUCT(CY$8:CY$18,Roles!$F$18:$F$28)</f>
        <v>0</v>
      </c>
      <c r="CZ26" s="22" t="n">
        <f aca="false">SUMPRODUCT(CZ$8:CZ$18,Roles!$F$18:$F$28)</f>
        <v>0</v>
      </c>
      <c r="DA26" s="22" t="n">
        <f aca="false">SUMPRODUCT(DA$8:DA$18,Roles!$F$18:$F$28)</f>
        <v>0</v>
      </c>
      <c r="DB26" s="22" t="n">
        <f aca="false">SUMPRODUCT(DB$8:DB$18,Roles!$F$18:$F$28)</f>
        <v>0</v>
      </c>
      <c r="DC26" s="22" t="n">
        <f aca="false">SUMPRODUCT(DC$8:DC$18,Roles!$F$18:$F$28)</f>
        <v>0</v>
      </c>
      <c r="DD26" s="22" t="n">
        <f aca="false">SUMPRODUCT(DD$8:DD$18,Roles!$F$18:$F$28)</f>
        <v>0</v>
      </c>
      <c r="DE26" s="22" t="n">
        <f aca="false">SUMPRODUCT(DE$8:DE$18,Roles!$F$18:$F$28)</f>
        <v>0</v>
      </c>
    </row>
    <row r="27" customFormat="false" ht="15" hidden="false" customHeight="false" outlineLevel="0" collapsed="false">
      <c r="A27" s="9" t="str">
        <f aca="false">Roles!B10</f>
        <v>Lead</v>
      </c>
      <c r="B27" s="2"/>
      <c r="C27" s="2"/>
      <c r="D27" s="22" t="n">
        <f aca="false">SUM(F27:DE27)</f>
        <v>1693.25728978125</v>
      </c>
      <c r="E27" s="2"/>
      <c r="F27" s="22" t="n">
        <f aca="false">SUMPRODUCT(F$8:F$18,Roles!$G$18:$G$28)</f>
        <v>23.1</v>
      </c>
      <c r="G27" s="22" t="n">
        <f aca="false">SUMPRODUCT(G$8:G$18,Roles!$G$18:$G$28)</f>
        <v>23.1</v>
      </c>
      <c r="H27" s="22" t="n">
        <f aca="false">SUMPRODUCT(H$8:H$18,Roles!$G$18:$G$28)</f>
        <v>23.1</v>
      </c>
      <c r="I27" s="22" t="n">
        <f aca="false">SUMPRODUCT(I$8:I$18,Roles!$G$18:$G$28)</f>
        <v>23.1</v>
      </c>
      <c r="J27" s="22" t="n">
        <f aca="false">SUMPRODUCT(J$8:J$18,Roles!$G$18:$G$28)</f>
        <v>23.1</v>
      </c>
      <c r="K27" s="22" t="n">
        <f aca="false">SUMPRODUCT(K$8:K$18,Roles!$G$18:$G$28)</f>
        <v>23.1</v>
      </c>
      <c r="L27" s="22" t="n">
        <f aca="false">SUMPRODUCT(L$8:L$18,Roles!$G$18:$G$28)</f>
        <v>29.72425</v>
      </c>
      <c r="M27" s="22" t="n">
        <f aca="false">SUMPRODUCT(M$8:M$18,Roles!$G$18:$G$28)</f>
        <v>29.72425</v>
      </c>
      <c r="N27" s="22" t="n">
        <f aca="false">SUMPRODUCT(N$8:N$18,Roles!$G$18:$G$28)</f>
        <v>42.9016954379596</v>
      </c>
      <c r="O27" s="22" t="n">
        <f aca="false">SUMPRODUCT(O$8:O$18,Roles!$G$18:$G$28)</f>
        <v>52.0291408759191</v>
      </c>
      <c r="P27" s="22" t="n">
        <f aca="false">SUMPRODUCT(P$8:P$18,Roles!$G$18:$G$28)</f>
        <v>69.9184910757834</v>
      </c>
      <c r="Q27" s="22" t="n">
        <f aca="false">SUMPRODUCT(Q$8:Q$18,Roles!$G$18:$G$28)</f>
        <v>79.045936513743</v>
      </c>
      <c r="R27" s="22" t="n">
        <f aca="false">SUMPRODUCT(R$8:R$18,Roles!$G$18:$G$28)</f>
        <v>88.5004819682884</v>
      </c>
      <c r="S27" s="22" t="n">
        <f aca="false">SUMPRODUCT(S$8:S$18,Roles!$G$18:$G$28)</f>
        <v>88.5004819682884</v>
      </c>
      <c r="T27" s="22" t="n">
        <f aca="false">SUMPRODUCT(T$8:T$18,Roles!$G$18:$G$28)</f>
        <v>88.5004819682884</v>
      </c>
      <c r="U27" s="22" t="n">
        <f aca="false">SUMPRODUCT(U$8:U$18,Roles!$G$18:$G$28)</f>
        <v>88.5004819682884</v>
      </c>
      <c r="V27" s="22" t="n">
        <f aca="false">SUMPRODUCT(V$8:V$18,Roles!$G$18:$G$28)</f>
        <v>88.5004819682884</v>
      </c>
      <c r="W27" s="22" t="n">
        <f aca="false">SUMPRODUCT(W$8:W$18,Roles!$G$18:$G$28)</f>
        <v>88.5004819682884</v>
      </c>
      <c r="X27" s="22" t="n">
        <f aca="false">SUMPRODUCT(X$8:X$18,Roles!$G$18:$G$28)</f>
        <v>58.7762319682884</v>
      </c>
      <c r="Y27" s="22" t="n">
        <f aca="false">SUMPRODUCT(Y$8:Y$18,Roles!$G$18:$G$28)</f>
        <v>58.7762319682884</v>
      </c>
      <c r="Z27" s="22" t="n">
        <f aca="false">SUMPRODUCT(Z$8:Z$18,Roles!$G$18:$G$28)</f>
        <v>58.7762319682884</v>
      </c>
      <c r="AA27" s="22" t="n">
        <f aca="false">SUMPRODUCT(AA$8:AA$18,Roles!$G$18:$G$28)</f>
        <v>58.7762319682884</v>
      </c>
      <c r="AB27" s="22" t="n">
        <f aca="false">SUMPRODUCT(AB$8:AB$18,Roles!$G$18:$G$28)</f>
        <v>58.7762319682884</v>
      </c>
      <c r="AC27" s="22" t="n">
        <f aca="false">SUMPRODUCT(AC$8:AC$18,Roles!$G$18:$G$28)</f>
        <v>58.7762319682884</v>
      </c>
      <c r="AD27" s="22" t="n">
        <f aca="false">SUMPRODUCT(AD$8:AD$18,Roles!$G$18:$G$28)</f>
        <v>58.7762319682884</v>
      </c>
      <c r="AE27" s="22" t="n">
        <f aca="false">SUMPRODUCT(AE$8:AE$18,Roles!$G$18:$G$28)</f>
        <v>49.6487865303289</v>
      </c>
      <c r="AF27" s="22" t="n">
        <f aca="false">SUMPRODUCT(AF$8:AF$18,Roles!$G$18:$G$28)</f>
        <v>48.5213410923693</v>
      </c>
      <c r="AG27" s="22" t="n">
        <f aca="false">SUMPRODUCT(AG$8:AG$18,Roles!$G$18:$G$28)</f>
        <v>39.3938956544098</v>
      </c>
      <c r="AH27" s="22" t="n">
        <f aca="false">SUMPRODUCT(AH$8:AH$18,Roles!$G$18:$G$28)</f>
        <v>30.2664502164502</v>
      </c>
      <c r="AI27" s="22" t="n">
        <f aca="false">SUMPRODUCT(AI$8:AI$18,Roles!$G$18:$G$28)</f>
        <v>30.2664502164502</v>
      </c>
      <c r="AJ27" s="22" t="n">
        <f aca="false">SUMPRODUCT(AJ$8:AJ$18,Roles!$G$18:$G$28)</f>
        <v>30.2664502164502</v>
      </c>
      <c r="AK27" s="22" t="n">
        <f aca="false">SUMPRODUCT(AK$8:AK$18,Roles!$G$18:$G$28)</f>
        <v>21.5045454545455</v>
      </c>
      <c r="AL27" s="22" t="n">
        <f aca="false">SUMPRODUCT(AL$8:AL$18,Roles!$G$18:$G$28)</f>
        <v>21.5045454545455</v>
      </c>
      <c r="AM27" s="22" t="n">
        <f aca="false">SUMPRODUCT(AM$8:AM$18,Roles!$G$18:$G$28)</f>
        <v>21.5045454545455</v>
      </c>
      <c r="AN27" s="22" t="n">
        <f aca="false">SUMPRODUCT(AN$8:AN$18,Roles!$G$18:$G$28)</f>
        <v>8</v>
      </c>
      <c r="AO27" s="22" t="n">
        <f aca="false">SUMPRODUCT(AO$8:AO$18,Roles!$G$18:$G$28)</f>
        <v>8</v>
      </c>
      <c r="AP27" s="22" t="n">
        <f aca="false">SUMPRODUCT(AP$8:AP$18,Roles!$G$18:$G$28)</f>
        <v>0</v>
      </c>
      <c r="AQ27" s="22" t="n">
        <f aca="false">SUMPRODUCT(AQ$8:AQ$18,Roles!$G$18:$G$28)</f>
        <v>0</v>
      </c>
      <c r="AR27" s="22" t="n">
        <f aca="false">SUMPRODUCT(AR$8:AR$18,Roles!$G$18:$G$28)</f>
        <v>0</v>
      </c>
      <c r="AS27" s="22" t="n">
        <f aca="false">SUMPRODUCT(AS$8:AS$18,Roles!$G$18:$G$28)</f>
        <v>0</v>
      </c>
      <c r="AT27" s="22" t="n">
        <f aca="false">SUMPRODUCT(AT$8:AT$18,Roles!$G$18:$G$28)</f>
        <v>0</v>
      </c>
      <c r="AU27" s="22" t="n">
        <f aca="false">SUMPRODUCT(AU$8:AU$18,Roles!$G$18:$G$28)</f>
        <v>0</v>
      </c>
      <c r="AV27" s="22" t="n">
        <f aca="false">SUMPRODUCT(AV$8:AV$18,Roles!$G$18:$G$28)</f>
        <v>0</v>
      </c>
      <c r="AW27" s="22" t="n">
        <f aca="false">SUMPRODUCT(AW$8:AW$18,Roles!$G$18:$G$28)</f>
        <v>0</v>
      </c>
      <c r="AX27" s="22" t="n">
        <f aca="false">SUMPRODUCT(AX$8:AX$18,Roles!$G$18:$G$28)</f>
        <v>0</v>
      </c>
      <c r="AY27" s="22" t="n">
        <f aca="false">SUMPRODUCT(AY$8:AY$18,Roles!$G$18:$G$28)</f>
        <v>0</v>
      </c>
      <c r="AZ27" s="22" t="n">
        <f aca="false">SUMPRODUCT(AZ$8:AZ$18,Roles!$G$18:$G$28)</f>
        <v>0</v>
      </c>
      <c r="BA27" s="22" t="n">
        <f aca="false">SUMPRODUCT(BA$8:BA$18,Roles!$G$18:$G$28)</f>
        <v>0</v>
      </c>
      <c r="BB27" s="22" t="n">
        <f aca="false">SUMPRODUCT(BB$8:BB$18,Roles!$G$18:$G$28)</f>
        <v>0</v>
      </c>
      <c r="BC27" s="22" t="n">
        <f aca="false">SUMPRODUCT(BC$8:BC$18,Roles!$G$18:$G$28)</f>
        <v>0</v>
      </c>
      <c r="BD27" s="22" t="n">
        <f aca="false">SUMPRODUCT(BD$8:BD$18,Roles!$G$18:$G$28)</f>
        <v>0</v>
      </c>
      <c r="BE27" s="22" t="n">
        <f aca="false">SUMPRODUCT(BE$8:BE$18,Roles!$G$18:$G$28)</f>
        <v>0</v>
      </c>
      <c r="BF27" s="22" t="n">
        <f aca="false">SUMPRODUCT(BF$8:BF$18,Roles!$G$18:$G$28)</f>
        <v>0</v>
      </c>
      <c r="BG27" s="22" t="n">
        <f aca="false">SUMPRODUCT(BG$8:BG$18,Roles!$G$18:$G$28)</f>
        <v>0</v>
      </c>
      <c r="BH27" s="22" t="n">
        <f aca="false">SUMPRODUCT(BH$8:BH$18,Roles!$G$18:$G$28)</f>
        <v>0</v>
      </c>
      <c r="BI27" s="22" t="n">
        <f aca="false">SUMPRODUCT(BI$8:BI$18,Roles!$G$18:$G$28)</f>
        <v>0</v>
      </c>
      <c r="BJ27" s="22" t="n">
        <f aca="false">SUMPRODUCT(BJ$8:BJ$18,Roles!$G$18:$G$28)</f>
        <v>0</v>
      </c>
      <c r="BK27" s="22" t="n">
        <f aca="false">SUMPRODUCT(BK$8:BK$18,Roles!$G$18:$G$28)</f>
        <v>0</v>
      </c>
      <c r="BL27" s="22" t="n">
        <f aca="false">SUMPRODUCT(BL$8:BL$18,Roles!$G$18:$G$28)</f>
        <v>0</v>
      </c>
      <c r="BM27" s="22" t="n">
        <f aca="false">SUMPRODUCT(BM$8:BM$18,Roles!$G$18:$G$28)</f>
        <v>0</v>
      </c>
      <c r="BN27" s="22" t="n">
        <f aca="false">SUMPRODUCT(BN$8:BN$18,Roles!$G$18:$G$28)</f>
        <v>0</v>
      </c>
      <c r="BO27" s="22" t="n">
        <f aca="false">SUMPRODUCT(BO$8:BO$18,Roles!$G$18:$G$28)</f>
        <v>0</v>
      </c>
      <c r="BP27" s="22" t="n">
        <f aca="false">SUMPRODUCT(BP$8:BP$18,Roles!$G$18:$G$28)</f>
        <v>0</v>
      </c>
      <c r="BQ27" s="22" t="n">
        <f aca="false">SUMPRODUCT(BQ$8:BQ$18,Roles!$G$18:$G$28)</f>
        <v>0</v>
      </c>
      <c r="BR27" s="22" t="n">
        <f aca="false">SUMPRODUCT(BR$8:BR$18,Roles!$G$18:$G$28)</f>
        <v>0</v>
      </c>
      <c r="BS27" s="22" t="n">
        <f aca="false">SUMPRODUCT(BS$8:BS$18,Roles!$G$18:$G$28)</f>
        <v>0</v>
      </c>
      <c r="BT27" s="22" t="n">
        <f aca="false">SUMPRODUCT(BT$8:BT$18,Roles!$G$18:$G$28)</f>
        <v>0</v>
      </c>
      <c r="BU27" s="22" t="n">
        <f aca="false">SUMPRODUCT(BU$8:BU$18,Roles!$G$18:$G$28)</f>
        <v>0</v>
      </c>
      <c r="BV27" s="22" t="n">
        <f aca="false">SUMPRODUCT(BV$8:BV$18,Roles!$G$18:$G$28)</f>
        <v>0</v>
      </c>
      <c r="BW27" s="22" t="n">
        <f aca="false">SUMPRODUCT(BW$8:BW$18,Roles!$G$18:$G$28)</f>
        <v>0</v>
      </c>
      <c r="BX27" s="22" t="n">
        <f aca="false">SUMPRODUCT(BX$8:BX$18,Roles!$G$18:$G$28)</f>
        <v>0</v>
      </c>
      <c r="BY27" s="22" t="n">
        <f aca="false">SUMPRODUCT(BY$8:BY$18,Roles!$G$18:$G$28)</f>
        <v>0</v>
      </c>
      <c r="BZ27" s="22" t="n">
        <f aca="false">SUMPRODUCT(BZ$8:BZ$18,Roles!$G$18:$G$28)</f>
        <v>0</v>
      </c>
      <c r="CA27" s="22" t="n">
        <f aca="false">SUMPRODUCT(CA$8:CA$18,Roles!$G$18:$G$28)</f>
        <v>0</v>
      </c>
      <c r="CB27" s="22" t="n">
        <f aca="false">SUMPRODUCT(CB$8:CB$18,Roles!$G$18:$G$28)</f>
        <v>0</v>
      </c>
      <c r="CC27" s="22" t="n">
        <f aca="false">SUMPRODUCT(CC$8:CC$18,Roles!$G$18:$G$28)</f>
        <v>0</v>
      </c>
      <c r="CD27" s="22" t="n">
        <f aca="false">SUMPRODUCT(CD$8:CD$18,Roles!$G$18:$G$28)</f>
        <v>0</v>
      </c>
      <c r="CE27" s="22" t="n">
        <f aca="false">SUMPRODUCT(CE$8:CE$18,Roles!$G$18:$G$28)</f>
        <v>0</v>
      </c>
      <c r="CF27" s="22" t="n">
        <f aca="false">SUMPRODUCT(CF$8:CF$18,Roles!$G$18:$G$28)</f>
        <v>0</v>
      </c>
      <c r="CG27" s="22" t="n">
        <f aca="false">SUMPRODUCT(CG$8:CG$18,Roles!$G$18:$G$28)</f>
        <v>0</v>
      </c>
      <c r="CH27" s="22" t="n">
        <f aca="false">SUMPRODUCT(CH$8:CH$18,Roles!$G$18:$G$28)</f>
        <v>0</v>
      </c>
      <c r="CI27" s="22" t="n">
        <f aca="false">SUMPRODUCT(CI$8:CI$18,Roles!$G$18:$G$28)</f>
        <v>0</v>
      </c>
      <c r="CJ27" s="22" t="n">
        <f aca="false">SUMPRODUCT(CJ$8:CJ$18,Roles!$G$18:$G$28)</f>
        <v>0</v>
      </c>
      <c r="CK27" s="22" t="n">
        <f aca="false">SUMPRODUCT(CK$8:CK$18,Roles!$G$18:$G$28)</f>
        <v>0</v>
      </c>
      <c r="CL27" s="22" t="n">
        <f aca="false">SUMPRODUCT(CL$8:CL$18,Roles!$G$18:$G$28)</f>
        <v>0</v>
      </c>
      <c r="CM27" s="22" t="n">
        <f aca="false">SUMPRODUCT(CM$8:CM$18,Roles!$G$18:$G$28)</f>
        <v>0</v>
      </c>
      <c r="CN27" s="22" t="n">
        <f aca="false">SUMPRODUCT(CN$8:CN$18,Roles!$G$18:$G$28)</f>
        <v>0</v>
      </c>
      <c r="CO27" s="22" t="n">
        <f aca="false">SUMPRODUCT(CO$8:CO$18,Roles!$G$18:$G$28)</f>
        <v>0</v>
      </c>
      <c r="CP27" s="22" t="n">
        <f aca="false">SUMPRODUCT(CP$8:CP$18,Roles!$G$18:$G$28)</f>
        <v>0</v>
      </c>
      <c r="CQ27" s="22" t="n">
        <f aca="false">SUMPRODUCT(CQ$8:CQ$18,Roles!$G$18:$G$28)</f>
        <v>0</v>
      </c>
      <c r="CR27" s="22" t="n">
        <f aca="false">SUMPRODUCT(CR$8:CR$18,Roles!$G$18:$G$28)</f>
        <v>0</v>
      </c>
      <c r="CS27" s="22" t="n">
        <f aca="false">SUMPRODUCT(CS$8:CS$18,Roles!$G$18:$G$28)</f>
        <v>0</v>
      </c>
      <c r="CT27" s="22" t="n">
        <f aca="false">SUMPRODUCT(CT$8:CT$18,Roles!$G$18:$G$28)</f>
        <v>0</v>
      </c>
      <c r="CU27" s="22" t="n">
        <f aca="false">SUMPRODUCT(CU$8:CU$18,Roles!$G$18:$G$28)</f>
        <v>0</v>
      </c>
      <c r="CV27" s="22" t="n">
        <f aca="false">SUMPRODUCT(CV$8:CV$18,Roles!$G$18:$G$28)</f>
        <v>0</v>
      </c>
      <c r="CW27" s="22" t="n">
        <f aca="false">SUMPRODUCT(CW$8:CW$18,Roles!$G$18:$G$28)</f>
        <v>0</v>
      </c>
      <c r="CX27" s="22" t="n">
        <f aca="false">SUMPRODUCT(CX$8:CX$18,Roles!$G$18:$G$28)</f>
        <v>0</v>
      </c>
      <c r="CY27" s="22" t="n">
        <f aca="false">SUMPRODUCT(CY$8:CY$18,Roles!$G$18:$G$28)</f>
        <v>0</v>
      </c>
      <c r="CZ27" s="22" t="n">
        <f aca="false">SUMPRODUCT(CZ$8:CZ$18,Roles!$G$18:$G$28)</f>
        <v>0</v>
      </c>
      <c r="DA27" s="22" t="n">
        <f aca="false">SUMPRODUCT(DA$8:DA$18,Roles!$G$18:$G$28)</f>
        <v>0</v>
      </c>
      <c r="DB27" s="22" t="n">
        <f aca="false">SUMPRODUCT(DB$8:DB$18,Roles!$G$18:$G$28)</f>
        <v>0</v>
      </c>
      <c r="DC27" s="22" t="n">
        <f aca="false">SUMPRODUCT(DC$8:DC$18,Roles!$G$18:$G$28)</f>
        <v>0</v>
      </c>
      <c r="DD27" s="22" t="n">
        <f aca="false">SUMPRODUCT(DD$8:DD$18,Roles!$G$18:$G$28)</f>
        <v>0</v>
      </c>
      <c r="DE27" s="22" t="n">
        <f aca="false">SUMPRODUCT(DE$8:DE$18,Roles!$G$18:$G$28)</f>
        <v>0</v>
      </c>
    </row>
    <row r="28" customFormat="false" ht="15" hidden="false" customHeight="false" outlineLevel="0" collapsed="false">
      <c r="A28" s="9" t="str">
        <f aca="false">Roles!B11</f>
        <v>Sr. engineer</v>
      </c>
      <c r="B28" s="2"/>
      <c r="C28" s="2"/>
      <c r="D28" s="22" t="n">
        <f aca="false">SUM(F28:DE28)</f>
        <v>3884.16886934375</v>
      </c>
      <c r="E28" s="2"/>
      <c r="F28" s="22" t="n">
        <f aca="false">SUMPRODUCT(F$8:F$18,Roles!$H$18:$H$28)</f>
        <v>0</v>
      </c>
      <c r="G28" s="22" t="n">
        <f aca="false">SUMPRODUCT(G$8:G$18,Roles!$H$18:$H$28)</f>
        <v>0</v>
      </c>
      <c r="H28" s="22" t="n">
        <f aca="false">SUMPRODUCT(H$8:H$18,Roles!$H$18:$H$28)</f>
        <v>0</v>
      </c>
      <c r="I28" s="22" t="n">
        <f aca="false">SUMPRODUCT(I$8:I$18,Roles!$H$18:$H$28)</f>
        <v>0</v>
      </c>
      <c r="J28" s="22" t="n">
        <f aca="false">SUMPRODUCT(J$8:J$18,Roles!$H$18:$H$28)</f>
        <v>0</v>
      </c>
      <c r="K28" s="22" t="n">
        <f aca="false">SUMPRODUCT(K$8:K$18,Roles!$H$18:$H$28)</f>
        <v>0</v>
      </c>
      <c r="L28" s="22" t="n">
        <f aca="false">SUMPRODUCT(L$8:L$18,Roles!$H$18:$H$28)</f>
        <v>99.0808333333333</v>
      </c>
      <c r="M28" s="22" t="n">
        <f aca="false">SUMPRODUCT(M$8:M$18,Roles!$H$18:$H$28)</f>
        <v>99.0808333333333</v>
      </c>
      <c r="N28" s="22" t="n">
        <f aca="false">SUMPRODUCT(N$8:N$18,Roles!$H$18:$H$28)</f>
        <v>135.703169647212</v>
      </c>
      <c r="O28" s="22" t="n">
        <f aca="false">SUMPRODUCT(O$8:O$18,Roles!$H$18:$H$28)</f>
        <v>163.085505961091</v>
      </c>
      <c r="P28" s="22" t="n">
        <f aca="false">SUMPRODUCT(P$8:P$18,Roles!$H$18:$H$28)</f>
        <v>190.467842274969</v>
      </c>
      <c r="Q28" s="22" t="n">
        <f aca="false">SUMPRODUCT(Q$8:Q$18,Roles!$H$18:$H$28)</f>
        <v>217.850178588848</v>
      </c>
      <c r="R28" s="22" t="n">
        <f aca="false">SUMPRODUCT(R$8:R$18,Roles!$H$18:$H$28)</f>
        <v>238.577451316121</v>
      </c>
      <c r="S28" s="22" t="n">
        <f aca="false">SUMPRODUCT(S$8:S$18,Roles!$H$18:$H$28)</f>
        <v>238.577451316121</v>
      </c>
      <c r="T28" s="22" t="n">
        <f aca="false">SUMPRODUCT(T$8:T$18,Roles!$H$18:$H$28)</f>
        <v>238.577451316121</v>
      </c>
      <c r="U28" s="22" t="n">
        <f aca="false">SUMPRODUCT(U$8:U$18,Roles!$H$18:$H$28)</f>
        <v>238.577451316121</v>
      </c>
      <c r="V28" s="22" t="n">
        <f aca="false">SUMPRODUCT(V$8:V$18,Roles!$H$18:$H$28)</f>
        <v>238.577451316121</v>
      </c>
      <c r="W28" s="22" t="n">
        <f aca="false">SUMPRODUCT(W$8:W$18,Roles!$H$18:$H$28)</f>
        <v>238.577451316121</v>
      </c>
      <c r="X28" s="22" t="n">
        <f aca="false">SUMPRODUCT(X$8:X$18,Roles!$H$18:$H$28)</f>
        <v>139.496617982787</v>
      </c>
      <c r="Y28" s="22" t="n">
        <f aca="false">SUMPRODUCT(Y$8:Y$18,Roles!$H$18:$H$28)</f>
        <v>139.496617982787</v>
      </c>
      <c r="Z28" s="22" t="n">
        <f aca="false">SUMPRODUCT(Z$8:Z$18,Roles!$H$18:$H$28)</f>
        <v>139.496617982787</v>
      </c>
      <c r="AA28" s="22" t="n">
        <f aca="false">SUMPRODUCT(AA$8:AA$18,Roles!$H$18:$H$28)</f>
        <v>139.496617982787</v>
      </c>
      <c r="AB28" s="22" t="n">
        <f aca="false">SUMPRODUCT(AB$8:AB$18,Roles!$H$18:$H$28)</f>
        <v>139.496617982787</v>
      </c>
      <c r="AC28" s="22" t="n">
        <f aca="false">SUMPRODUCT(AC$8:AC$18,Roles!$H$18:$H$28)</f>
        <v>139.496617982787</v>
      </c>
      <c r="AD28" s="22" t="n">
        <f aca="false">SUMPRODUCT(AD$8:AD$18,Roles!$H$18:$H$28)</f>
        <v>139.496617982787</v>
      </c>
      <c r="AE28" s="22" t="n">
        <f aca="false">SUMPRODUCT(AE$8:AE$18,Roles!$H$18:$H$28)</f>
        <v>112.114281668909</v>
      </c>
      <c r="AF28" s="22" t="n">
        <f aca="false">SUMPRODUCT(AF$8:AF$18,Roles!$H$18:$H$28)</f>
        <v>100.73194535503</v>
      </c>
      <c r="AG28" s="22" t="n">
        <f aca="false">SUMPRODUCT(AG$8:AG$18,Roles!$H$18:$H$28)</f>
        <v>73.3496090411514</v>
      </c>
      <c r="AH28" s="22" t="n">
        <f aca="false">SUMPRODUCT(AH$8:AH$18,Roles!$H$18:$H$28)</f>
        <v>42.1272727272727</v>
      </c>
      <c r="AI28" s="22" t="n">
        <f aca="false">SUMPRODUCT(AI$8:AI$18,Roles!$H$18:$H$28)</f>
        <v>42.1272727272727</v>
      </c>
      <c r="AJ28" s="22" t="n">
        <f aca="false">SUMPRODUCT(AJ$8:AJ$18,Roles!$H$18:$H$28)</f>
        <v>42.1272727272727</v>
      </c>
      <c r="AK28" s="22" t="n">
        <f aca="false">SUMPRODUCT(AK$8:AK$18,Roles!$H$18:$H$28)</f>
        <v>42.1272727272727</v>
      </c>
      <c r="AL28" s="22" t="n">
        <f aca="false">SUMPRODUCT(AL$8:AL$18,Roles!$H$18:$H$28)</f>
        <v>42.1272727272727</v>
      </c>
      <c r="AM28" s="22" t="n">
        <f aca="false">SUMPRODUCT(AM$8:AM$18,Roles!$H$18:$H$28)</f>
        <v>42.1272727272727</v>
      </c>
      <c r="AN28" s="22" t="n">
        <f aca="false">SUMPRODUCT(AN$8:AN$18,Roles!$H$18:$H$28)</f>
        <v>16</v>
      </c>
      <c r="AO28" s="22" t="n">
        <f aca="false">SUMPRODUCT(AO$8:AO$18,Roles!$H$18:$H$28)</f>
        <v>16</v>
      </c>
      <c r="AP28" s="22" t="n">
        <f aca="false">SUMPRODUCT(AP$8:AP$18,Roles!$H$18:$H$28)</f>
        <v>0</v>
      </c>
      <c r="AQ28" s="22" t="n">
        <f aca="false">SUMPRODUCT(AQ$8:AQ$18,Roles!$H$18:$H$28)</f>
        <v>0</v>
      </c>
      <c r="AR28" s="22" t="n">
        <f aca="false">SUMPRODUCT(AR$8:AR$18,Roles!$H$18:$H$28)</f>
        <v>0</v>
      </c>
      <c r="AS28" s="22" t="n">
        <f aca="false">SUMPRODUCT(AS$8:AS$18,Roles!$H$18:$H$28)</f>
        <v>0</v>
      </c>
      <c r="AT28" s="22" t="n">
        <f aca="false">SUMPRODUCT(AT$8:AT$18,Roles!$H$18:$H$28)</f>
        <v>0</v>
      </c>
      <c r="AU28" s="22" t="n">
        <f aca="false">SUMPRODUCT(AU$8:AU$18,Roles!$H$18:$H$28)</f>
        <v>0</v>
      </c>
      <c r="AV28" s="22" t="n">
        <f aca="false">SUMPRODUCT(AV$8:AV$18,Roles!$H$18:$H$28)</f>
        <v>0</v>
      </c>
      <c r="AW28" s="22" t="n">
        <f aca="false">SUMPRODUCT(AW$8:AW$18,Roles!$H$18:$H$28)</f>
        <v>0</v>
      </c>
      <c r="AX28" s="22" t="n">
        <f aca="false">SUMPRODUCT(AX$8:AX$18,Roles!$H$18:$H$28)</f>
        <v>0</v>
      </c>
      <c r="AY28" s="22" t="n">
        <f aca="false">SUMPRODUCT(AY$8:AY$18,Roles!$H$18:$H$28)</f>
        <v>0</v>
      </c>
      <c r="AZ28" s="22" t="n">
        <f aca="false">SUMPRODUCT(AZ$8:AZ$18,Roles!$H$18:$H$28)</f>
        <v>0</v>
      </c>
      <c r="BA28" s="22" t="n">
        <f aca="false">SUMPRODUCT(BA$8:BA$18,Roles!$H$18:$H$28)</f>
        <v>0</v>
      </c>
      <c r="BB28" s="22" t="n">
        <f aca="false">SUMPRODUCT(BB$8:BB$18,Roles!$H$18:$H$28)</f>
        <v>0</v>
      </c>
      <c r="BC28" s="22" t="n">
        <f aca="false">SUMPRODUCT(BC$8:BC$18,Roles!$H$18:$H$28)</f>
        <v>0</v>
      </c>
      <c r="BD28" s="22" t="n">
        <f aca="false">SUMPRODUCT(BD$8:BD$18,Roles!$H$18:$H$28)</f>
        <v>0</v>
      </c>
      <c r="BE28" s="22" t="n">
        <f aca="false">SUMPRODUCT(BE$8:BE$18,Roles!$H$18:$H$28)</f>
        <v>0</v>
      </c>
      <c r="BF28" s="22" t="n">
        <f aca="false">SUMPRODUCT(BF$8:BF$18,Roles!$H$18:$H$28)</f>
        <v>0</v>
      </c>
      <c r="BG28" s="22" t="n">
        <f aca="false">SUMPRODUCT(BG$8:BG$18,Roles!$H$18:$H$28)</f>
        <v>0</v>
      </c>
      <c r="BH28" s="22" t="n">
        <f aca="false">SUMPRODUCT(BH$8:BH$18,Roles!$H$18:$H$28)</f>
        <v>0</v>
      </c>
      <c r="BI28" s="22" t="n">
        <f aca="false">SUMPRODUCT(BI$8:BI$18,Roles!$H$18:$H$28)</f>
        <v>0</v>
      </c>
      <c r="BJ28" s="22" t="n">
        <f aca="false">SUMPRODUCT(BJ$8:BJ$18,Roles!$H$18:$H$28)</f>
        <v>0</v>
      </c>
      <c r="BK28" s="22" t="n">
        <f aca="false">SUMPRODUCT(BK$8:BK$18,Roles!$H$18:$H$28)</f>
        <v>0</v>
      </c>
      <c r="BL28" s="22" t="n">
        <f aca="false">SUMPRODUCT(BL$8:BL$18,Roles!$H$18:$H$28)</f>
        <v>0</v>
      </c>
      <c r="BM28" s="22" t="n">
        <f aca="false">SUMPRODUCT(BM$8:BM$18,Roles!$H$18:$H$28)</f>
        <v>0</v>
      </c>
      <c r="BN28" s="22" t="n">
        <f aca="false">SUMPRODUCT(BN$8:BN$18,Roles!$H$18:$H$28)</f>
        <v>0</v>
      </c>
      <c r="BO28" s="22" t="n">
        <f aca="false">SUMPRODUCT(BO$8:BO$18,Roles!$H$18:$H$28)</f>
        <v>0</v>
      </c>
      <c r="BP28" s="22" t="n">
        <f aca="false">SUMPRODUCT(BP$8:BP$18,Roles!$H$18:$H$28)</f>
        <v>0</v>
      </c>
      <c r="BQ28" s="22" t="n">
        <f aca="false">SUMPRODUCT(BQ$8:BQ$18,Roles!$H$18:$H$28)</f>
        <v>0</v>
      </c>
      <c r="BR28" s="22" t="n">
        <f aca="false">SUMPRODUCT(BR$8:BR$18,Roles!$H$18:$H$28)</f>
        <v>0</v>
      </c>
      <c r="BS28" s="22" t="n">
        <f aca="false">SUMPRODUCT(BS$8:BS$18,Roles!$H$18:$H$28)</f>
        <v>0</v>
      </c>
      <c r="BT28" s="22" t="n">
        <f aca="false">SUMPRODUCT(BT$8:BT$18,Roles!$H$18:$H$28)</f>
        <v>0</v>
      </c>
      <c r="BU28" s="22" t="n">
        <f aca="false">SUMPRODUCT(BU$8:BU$18,Roles!$H$18:$H$28)</f>
        <v>0</v>
      </c>
      <c r="BV28" s="22" t="n">
        <f aca="false">SUMPRODUCT(BV$8:BV$18,Roles!$H$18:$H$28)</f>
        <v>0</v>
      </c>
      <c r="BW28" s="22" t="n">
        <f aca="false">SUMPRODUCT(BW$8:BW$18,Roles!$H$18:$H$28)</f>
        <v>0</v>
      </c>
      <c r="BX28" s="22" t="n">
        <f aca="false">SUMPRODUCT(BX$8:BX$18,Roles!$H$18:$H$28)</f>
        <v>0</v>
      </c>
      <c r="BY28" s="22" t="n">
        <f aca="false">SUMPRODUCT(BY$8:BY$18,Roles!$H$18:$H$28)</f>
        <v>0</v>
      </c>
      <c r="BZ28" s="22" t="n">
        <f aca="false">SUMPRODUCT(BZ$8:BZ$18,Roles!$H$18:$H$28)</f>
        <v>0</v>
      </c>
      <c r="CA28" s="22" t="n">
        <f aca="false">SUMPRODUCT(CA$8:CA$18,Roles!$H$18:$H$28)</f>
        <v>0</v>
      </c>
      <c r="CB28" s="22" t="n">
        <f aca="false">SUMPRODUCT(CB$8:CB$18,Roles!$H$18:$H$28)</f>
        <v>0</v>
      </c>
      <c r="CC28" s="22" t="n">
        <f aca="false">SUMPRODUCT(CC$8:CC$18,Roles!$H$18:$H$28)</f>
        <v>0</v>
      </c>
      <c r="CD28" s="22" t="n">
        <f aca="false">SUMPRODUCT(CD$8:CD$18,Roles!$H$18:$H$28)</f>
        <v>0</v>
      </c>
      <c r="CE28" s="22" t="n">
        <f aca="false">SUMPRODUCT(CE$8:CE$18,Roles!$H$18:$H$28)</f>
        <v>0</v>
      </c>
      <c r="CF28" s="22" t="n">
        <f aca="false">SUMPRODUCT(CF$8:CF$18,Roles!$H$18:$H$28)</f>
        <v>0</v>
      </c>
      <c r="CG28" s="22" t="n">
        <f aca="false">SUMPRODUCT(CG$8:CG$18,Roles!$H$18:$H$28)</f>
        <v>0</v>
      </c>
      <c r="CH28" s="22" t="n">
        <f aca="false">SUMPRODUCT(CH$8:CH$18,Roles!$H$18:$H$28)</f>
        <v>0</v>
      </c>
      <c r="CI28" s="22" t="n">
        <f aca="false">SUMPRODUCT(CI$8:CI$18,Roles!$H$18:$H$28)</f>
        <v>0</v>
      </c>
      <c r="CJ28" s="22" t="n">
        <f aca="false">SUMPRODUCT(CJ$8:CJ$18,Roles!$H$18:$H$28)</f>
        <v>0</v>
      </c>
      <c r="CK28" s="22" t="n">
        <f aca="false">SUMPRODUCT(CK$8:CK$18,Roles!$H$18:$H$28)</f>
        <v>0</v>
      </c>
      <c r="CL28" s="22" t="n">
        <f aca="false">SUMPRODUCT(CL$8:CL$18,Roles!$H$18:$H$28)</f>
        <v>0</v>
      </c>
      <c r="CM28" s="22" t="n">
        <f aca="false">SUMPRODUCT(CM$8:CM$18,Roles!$H$18:$H$28)</f>
        <v>0</v>
      </c>
      <c r="CN28" s="22" t="n">
        <f aca="false">SUMPRODUCT(CN$8:CN$18,Roles!$H$18:$H$28)</f>
        <v>0</v>
      </c>
      <c r="CO28" s="22" t="n">
        <f aca="false">SUMPRODUCT(CO$8:CO$18,Roles!$H$18:$H$28)</f>
        <v>0</v>
      </c>
      <c r="CP28" s="22" t="n">
        <f aca="false">SUMPRODUCT(CP$8:CP$18,Roles!$H$18:$H$28)</f>
        <v>0</v>
      </c>
      <c r="CQ28" s="22" t="n">
        <f aca="false">SUMPRODUCT(CQ$8:CQ$18,Roles!$H$18:$H$28)</f>
        <v>0</v>
      </c>
      <c r="CR28" s="22" t="n">
        <f aca="false">SUMPRODUCT(CR$8:CR$18,Roles!$H$18:$H$28)</f>
        <v>0</v>
      </c>
      <c r="CS28" s="22" t="n">
        <f aca="false">SUMPRODUCT(CS$8:CS$18,Roles!$H$18:$H$28)</f>
        <v>0</v>
      </c>
      <c r="CT28" s="22" t="n">
        <f aca="false">SUMPRODUCT(CT$8:CT$18,Roles!$H$18:$H$28)</f>
        <v>0</v>
      </c>
      <c r="CU28" s="22" t="n">
        <f aca="false">SUMPRODUCT(CU$8:CU$18,Roles!$H$18:$H$28)</f>
        <v>0</v>
      </c>
      <c r="CV28" s="22" t="n">
        <f aca="false">SUMPRODUCT(CV$8:CV$18,Roles!$H$18:$H$28)</f>
        <v>0</v>
      </c>
      <c r="CW28" s="22" t="n">
        <f aca="false">SUMPRODUCT(CW$8:CW$18,Roles!$H$18:$H$28)</f>
        <v>0</v>
      </c>
      <c r="CX28" s="22" t="n">
        <f aca="false">SUMPRODUCT(CX$8:CX$18,Roles!$H$18:$H$28)</f>
        <v>0</v>
      </c>
      <c r="CY28" s="22" t="n">
        <f aca="false">SUMPRODUCT(CY$8:CY$18,Roles!$H$18:$H$28)</f>
        <v>0</v>
      </c>
      <c r="CZ28" s="22" t="n">
        <f aca="false">SUMPRODUCT(CZ$8:CZ$18,Roles!$H$18:$H$28)</f>
        <v>0</v>
      </c>
      <c r="DA28" s="22" t="n">
        <f aca="false">SUMPRODUCT(DA$8:DA$18,Roles!$H$18:$H$28)</f>
        <v>0</v>
      </c>
      <c r="DB28" s="22" t="n">
        <f aca="false">SUMPRODUCT(DB$8:DB$18,Roles!$H$18:$H$28)</f>
        <v>0</v>
      </c>
      <c r="DC28" s="22" t="n">
        <f aca="false">SUMPRODUCT(DC$8:DC$18,Roles!$H$18:$H$28)</f>
        <v>0</v>
      </c>
      <c r="DD28" s="22" t="n">
        <f aca="false">SUMPRODUCT(DD$8:DD$18,Roles!$H$18:$H$28)</f>
        <v>0</v>
      </c>
      <c r="DE28" s="22" t="n">
        <f aca="false">SUMPRODUCT(DE$8:DE$18,Roles!$H$18:$H$28)</f>
        <v>0</v>
      </c>
    </row>
    <row r="29" customFormat="false" ht="15" hidden="false" customHeight="false" outlineLevel="0" collapsed="false">
      <c r="A29" s="9" t="str">
        <f aca="false">Roles!B12</f>
        <v>Engineer</v>
      </c>
      <c r="B29" s="2"/>
      <c r="C29" s="2"/>
      <c r="D29" s="22" t="n">
        <f aca="false">SUM(F29:DE29)</f>
        <v>4823.5857386875</v>
      </c>
      <c r="E29" s="2"/>
      <c r="F29" s="22" t="n">
        <f aca="false">SUMPRODUCT(F$8:F$18,Roles!$I$18:$I$28)</f>
        <v>0</v>
      </c>
      <c r="G29" s="22" t="n">
        <f aca="false">SUMPRODUCT(G$8:G$18,Roles!$I$18:$I$28)</f>
        <v>0</v>
      </c>
      <c r="H29" s="22" t="n">
        <f aca="false">SUMPRODUCT(H$8:H$18,Roles!$I$18:$I$28)</f>
        <v>0</v>
      </c>
      <c r="I29" s="22" t="n">
        <f aca="false">SUMPRODUCT(I$8:I$18,Roles!$I$18:$I$28)</f>
        <v>0</v>
      </c>
      <c r="J29" s="22" t="n">
        <f aca="false">SUMPRODUCT(J$8:J$18,Roles!$I$18:$I$28)</f>
        <v>0</v>
      </c>
      <c r="K29" s="22" t="n">
        <f aca="false">SUMPRODUCT(K$8:K$18,Roles!$I$18:$I$28)</f>
        <v>0</v>
      </c>
      <c r="L29" s="22" t="n">
        <f aca="false">SUMPRODUCT(L$8:L$18,Roles!$I$18:$I$28)</f>
        <v>39.6323333333333</v>
      </c>
      <c r="M29" s="22" t="n">
        <f aca="false">SUMPRODUCT(M$8:M$18,Roles!$I$18:$I$28)</f>
        <v>39.6323333333333</v>
      </c>
      <c r="N29" s="22" t="n">
        <f aca="false">SUMPRODUCT(N$8:N$18,Roles!$I$18:$I$28)</f>
        <v>94.3970059610907</v>
      </c>
      <c r="O29" s="22" t="n">
        <f aca="false">SUMPRODUCT(O$8:O$18,Roles!$I$18:$I$28)</f>
        <v>149.161678588848</v>
      </c>
      <c r="P29" s="22" t="n">
        <f aca="false">SUMPRODUCT(P$8:P$18,Roles!$I$18:$I$28)</f>
        <v>221.450160740415</v>
      </c>
      <c r="Q29" s="22" t="n">
        <f aca="false">SUMPRODUCT(Q$8:Q$18,Roles!$I$18:$I$28)</f>
        <v>276.214833368172</v>
      </c>
      <c r="R29" s="22" t="n">
        <f aca="false">SUMPRODUCT(R$8:R$18,Roles!$I$18:$I$28)</f>
        <v>284.214833368172</v>
      </c>
      <c r="S29" s="22" t="n">
        <f aca="false">SUMPRODUCT(S$8:S$18,Roles!$I$18:$I$28)</f>
        <v>284.214833368172</v>
      </c>
      <c r="T29" s="22" t="n">
        <f aca="false">SUMPRODUCT(T$8:T$18,Roles!$I$18:$I$28)</f>
        <v>284.214833368172</v>
      </c>
      <c r="U29" s="22" t="n">
        <f aca="false">SUMPRODUCT(U$8:U$18,Roles!$I$18:$I$28)</f>
        <v>284.214833368172</v>
      </c>
      <c r="V29" s="22" t="n">
        <f aca="false">SUMPRODUCT(V$8:V$18,Roles!$I$18:$I$28)</f>
        <v>284.214833368172</v>
      </c>
      <c r="W29" s="22" t="n">
        <f aca="false">SUMPRODUCT(W$8:W$18,Roles!$I$18:$I$28)</f>
        <v>284.214833368172</v>
      </c>
      <c r="X29" s="22" t="n">
        <f aca="false">SUMPRODUCT(X$8:X$18,Roles!$I$18:$I$28)</f>
        <v>244.582500034839</v>
      </c>
      <c r="Y29" s="22" t="n">
        <f aca="false">SUMPRODUCT(Y$8:Y$18,Roles!$I$18:$I$28)</f>
        <v>244.582500034839</v>
      </c>
      <c r="Z29" s="22" t="n">
        <f aca="false">SUMPRODUCT(Z$8:Z$18,Roles!$I$18:$I$28)</f>
        <v>244.582500034839</v>
      </c>
      <c r="AA29" s="22" t="n">
        <f aca="false">SUMPRODUCT(AA$8:AA$18,Roles!$I$18:$I$28)</f>
        <v>244.582500034839</v>
      </c>
      <c r="AB29" s="22" t="n">
        <f aca="false">SUMPRODUCT(AB$8:AB$18,Roles!$I$18:$I$28)</f>
        <v>244.582500034839</v>
      </c>
      <c r="AC29" s="22" t="n">
        <f aca="false">SUMPRODUCT(AC$8:AC$18,Roles!$I$18:$I$28)</f>
        <v>244.582500034839</v>
      </c>
      <c r="AD29" s="22" t="n">
        <f aca="false">SUMPRODUCT(AD$8:AD$18,Roles!$I$18:$I$28)</f>
        <v>244.582500034839</v>
      </c>
      <c r="AE29" s="22" t="n">
        <f aca="false">SUMPRODUCT(AE$8:AE$18,Roles!$I$18:$I$28)</f>
        <v>189.817827407082</v>
      </c>
      <c r="AF29" s="22" t="n">
        <f aca="false">SUMPRODUCT(AF$8:AF$18,Roles!$I$18:$I$28)</f>
        <v>143.053154779324</v>
      </c>
      <c r="AG29" s="22" t="n">
        <f aca="false">SUMPRODUCT(AG$8:AG$18,Roles!$I$18:$I$28)</f>
        <v>88.2884821515669</v>
      </c>
      <c r="AH29" s="22" t="n">
        <f aca="false">SUMPRODUCT(AH$8:AH$18,Roles!$I$18:$I$28)</f>
        <v>33.5238095238095</v>
      </c>
      <c r="AI29" s="22" t="n">
        <f aca="false">SUMPRODUCT(AI$8:AI$18,Roles!$I$18:$I$28)</f>
        <v>33.5238095238095</v>
      </c>
      <c r="AJ29" s="22" t="n">
        <f aca="false">SUMPRODUCT(AJ$8:AJ$18,Roles!$I$18:$I$28)</f>
        <v>33.5238095238095</v>
      </c>
      <c r="AK29" s="22" t="n">
        <f aca="false">SUMPRODUCT(AK$8:AK$18,Roles!$I$18:$I$28)</f>
        <v>16</v>
      </c>
      <c r="AL29" s="22" t="n">
        <f aca="false">SUMPRODUCT(AL$8:AL$18,Roles!$I$18:$I$28)</f>
        <v>16</v>
      </c>
      <c r="AM29" s="22" t="n">
        <f aca="false">SUMPRODUCT(AM$8:AM$18,Roles!$I$18:$I$28)</f>
        <v>16</v>
      </c>
      <c r="AN29" s="22" t="n">
        <f aca="false">SUMPRODUCT(AN$8:AN$18,Roles!$I$18:$I$28)</f>
        <v>8</v>
      </c>
      <c r="AO29" s="22" t="n">
        <f aca="false">SUMPRODUCT(AO$8:AO$18,Roles!$I$18:$I$28)</f>
        <v>8</v>
      </c>
      <c r="AP29" s="22" t="n">
        <f aca="false">SUMPRODUCT(AP$8:AP$18,Roles!$I$18:$I$28)</f>
        <v>0</v>
      </c>
      <c r="AQ29" s="22" t="n">
        <f aca="false">SUMPRODUCT(AQ$8:AQ$18,Roles!$I$18:$I$28)</f>
        <v>0</v>
      </c>
      <c r="AR29" s="22" t="n">
        <f aca="false">SUMPRODUCT(AR$8:AR$18,Roles!$I$18:$I$28)</f>
        <v>0</v>
      </c>
      <c r="AS29" s="22" t="n">
        <f aca="false">SUMPRODUCT(AS$8:AS$18,Roles!$I$18:$I$28)</f>
        <v>0</v>
      </c>
      <c r="AT29" s="22" t="n">
        <f aca="false">SUMPRODUCT(AT$8:AT$18,Roles!$I$18:$I$28)</f>
        <v>0</v>
      </c>
      <c r="AU29" s="22" t="n">
        <f aca="false">SUMPRODUCT(AU$8:AU$18,Roles!$I$18:$I$28)</f>
        <v>0</v>
      </c>
      <c r="AV29" s="22" t="n">
        <f aca="false">SUMPRODUCT(AV$8:AV$18,Roles!$I$18:$I$28)</f>
        <v>0</v>
      </c>
      <c r="AW29" s="22" t="n">
        <f aca="false">SUMPRODUCT(AW$8:AW$18,Roles!$I$18:$I$28)</f>
        <v>0</v>
      </c>
      <c r="AX29" s="22" t="n">
        <f aca="false">SUMPRODUCT(AX$8:AX$18,Roles!$I$18:$I$28)</f>
        <v>0</v>
      </c>
      <c r="AY29" s="22" t="n">
        <f aca="false">SUMPRODUCT(AY$8:AY$18,Roles!$I$18:$I$28)</f>
        <v>0</v>
      </c>
      <c r="AZ29" s="22" t="n">
        <f aca="false">SUMPRODUCT(AZ$8:AZ$18,Roles!$I$18:$I$28)</f>
        <v>0</v>
      </c>
      <c r="BA29" s="22" t="n">
        <f aca="false">SUMPRODUCT(BA$8:BA$18,Roles!$I$18:$I$28)</f>
        <v>0</v>
      </c>
      <c r="BB29" s="22" t="n">
        <f aca="false">SUMPRODUCT(BB$8:BB$18,Roles!$I$18:$I$28)</f>
        <v>0</v>
      </c>
      <c r="BC29" s="22" t="n">
        <f aca="false">SUMPRODUCT(BC$8:BC$18,Roles!$I$18:$I$28)</f>
        <v>0</v>
      </c>
      <c r="BD29" s="22" t="n">
        <f aca="false">SUMPRODUCT(BD$8:BD$18,Roles!$I$18:$I$28)</f>
        <v>0</v>
      </c>
      <c r="BE29" s="22" t="n">
        <f aca="false">SUMPRODUCT(BE$8:BE$18,Roles!$I$18:$I$28)</f>
        <v>0</v>
      </c>
      <c r="BF29" s="22" t="n">
        <f aca="false">SUMPRODUCT(BF$8:BF$18,Roles!$I$18:$I$28)</f>
        <v>0</v>
      </c>
      <c r="BG29" s="22" t="n">
        <f aca="false">SUMPRODUCT(BG$8:BG$18,Roles!$I$18:$I$28)</f>
        <v>0</v>
      </c>
      <c r="BH29" s="22" t="n">
        <f aca="false">SUMPRODUCT(BH$8:BH$18,Roles!$I$18:$I$28)</f>
        <v>0</v>
      </c>
      <c r="BI29" s="22" t="n">
        <f aca="false">SUMPRODUCT(BI$8:BI$18,Roles!$I$18:$I$28)</f>
        <v>0</v>
      </c>
      <c r="BJ29" s="22" t="n">
        <f aca="false">SUMPRODUCT(BJ$8:BJ$18,Roles!$I$18:$I$28)</f>
        <v>0</v>
      </c>
      <c r="BK29" s="22" t="n">
        <f aca="false">SUMPRODUCT(BK$8:BK$18,Roles!$I$18:$I$28)</f>
        <v>0</v>
      </c>
      <c r="BL29" s="22" t="n">
        <f aca="false">SUMPRODUCT(BL$8:BL$18,Roles!$I$18:$I$28)</f>
        <v>0</v>
      </c>
      <c r="BM29" s="22" t="n">
        <f aca="false">SUMPRODUCT(BM$8:BM$18,Roles!$I$18:$I$28)</f>
        <v>0</v>
      </c>
      <c r="BN29" s="22" t="n">
        <f aca="false">SUMPRODUCT(BN$8:BN$18,Roles!$I$18:$I$28)</f>
        <v>0</v>
      </c>
      <c r="BO29" s="22" t="n">
        <f aca="false">SUMPRODUCT(BO$8:BO$18,Roles!$I$18:$I$28)</f>
        <v>0</v>
      </c>
      <c r="BP29" s="22" t="n">
        <f aca="false">SUMPRODUCT(BP$8:BP$18,Roles!$I$18:$I$28)</f>
        <v>0</v>
      </c>
      <c r="BQ29" s="22" t="n">
        <f aca="false">SUMPRODUCT(BQ$8:BQ$18,Roles!$I$18:$I$28)</f>
        <v>0</v>
      </c>
      <c r="BR29" s="22" t="n">
        <f aca="false">SUMPRODUCT(BR$8:BR$18,Roles!$I$18:$I$28)</f>
        <v>0</v>
      </c>
      <c r="BS29" s="22" t="n">
        <f aca="false">SUMPRODUCT(BS$8:BS$18,Roles!$I$18:$I$28)</f>
        <v>0</v>
      </c>
      <c r="BT29" s="22" t="n">
        <f aca="false">SUMPRODUCT(BT$8:BT$18,Roles!$I$18:$I$28)</f>
        <v>0</v>
      </c>
      <c r="BU29" s="22" t="n">
        <f aca="false">SUMPRODUCT(BU$8:BU$18,Roles!$I$18:$I$28)</f>
        <v>0</v>
      </c>
      <c r="BV29" s="22" t="n">
        <f aca="false">SUMPRODUCT(BV$8:BV$18,Roles!$I$18:$I$28)</f>
        <v>0</v>
      </c>
      <c r="BW29" s="22" t="n">
        <f aca="false">SUMPRODUCT(BW$8:BW$18,Roles!$I$18:$I$28)</f>
        <v>0</v>
      </c>
      <c r="BX29" s="22" t="n">
        <f aca="false">SUMPRODUCT(BX$8:BX$18,Roles!$I$18:$I$28)</f>
        <v>0</v>
      </c>
      <c r="BY29" s="22" t="n">
        <f aca="false">SUMPRODUCT(BY$8:BY$18,Roles!$I$18:$I$28)</f>
        <v>0</v>
      </c>
      <c r="BZ29" s="22" t="n">
        <f aca="false">SUMPRODUCT(BZ$8:BZ$18,Roles!$I$18:$I$28)</f>
        <v>0</v>
      </c>
      <c r="CA29" s="22" t="n">
        <f aca="false">SUMPRODUCT(CA$8:CA$18,Roles!$I$18:$I$28)</f>
        <v>0</v>
      </c>
      <c r="CB29" s="22" t="n">
        <f aca="false">SUMPRODUCT(CB$8:CB$18,Roles!$I$18:$I$28)</f>
        <v>0</v>
      </c>
      <c r="CC29" s="22" t="n">
        <f aca="false">SUMPRODUCT(CC$8:CC$18,Roles!$I$18:$I$28)</f>
        <v>0</v>
      </c>
      <c r="CD29" s="22" t="n">
        <f aca="false">SUMPRODUCT(CD$8:CD$18,Roles!$I$18:$I$28)</f>
        <v>0</v>
      </c>
      <c r="CE29" s="22" t="n">
        <f aca="false">SUMPRODUCT(CE$8:CE$18,Roles!$I$18:$I$28)</f>
        <v>0</v>
      </c>
      <c r="CF29" s="22" t="n">
        <f aca="false">SUMPRODUCT(CF$8:CF$18,Roles!$I$18:$I$28)</f>
        <v>0</v>
      </c>
      <c r="CG29" s="22" t="n">
        <f aca="false">SUMPRODUCT(CG$8:CG$18,Roles!$I$18:$I$28)</f>
        <v>0</v>
      </c>
      <c r="CH29" s="22" t="n">
        <f aca="false">SUMPRODUCT(CH$8:CH$18,Roles!$I$18:$I$28)</f>
        <v>0</v>
      </c>
      <c r="CI29" s="22" t="n">
        <f aca="false">SUMPRODUCT(CI$8:CI$18,Roles!$I$18:$I$28)</f>
        <v>0</v>
      </c>
      <c r="CJ29" s="22" t="n">
        <f aca="false">SUMPRODUCT(CJ$8:CJ$18,Roles!$I$18:$I$28)</f>
        <v>0</v>
      </c>
      <c r="CK29" s="22" t="n">
        <f aca="false">SUMPRODUCT(CK$8:CK$18,Roles!$I$18:$I$28)</f>
        <v>0</v>
      </c>
      <c r="CL29" s="22" t="n">
        <f aca="false">SUMPRODUCT(CL$8:CL$18,Roles!$I$18:$I$28)</f>
        <v>0</v>
      </c>
      <c r="CM29" s="22" t="n">
        <f aca="false">SUMPRODUCT(CM$8:CM$18,Roles!$I$18:$I$28)</f>
        <v>0</v>
      </c>
      <c r="CN29" s="22" t="n">
        <f aca="false">SUMPRODUCT(CN$8:CN$18,Roles!$I$18:$I$28)</f>
        <v>0</v>
      </c>
      <c r="CO29" s="22" t="n">
        <f aca="false">SUMPRODUCT(CO$8:CO$18,Roles!$I$18:$I$28)</f>
        <v>0</v>
      </c>
      <c r="CP29" s="22" t="n">
        <f aca="false">SUMPRODUCT(CP$8:CP$18,Roles!$I$18:$I$28)</f>
        <v>0</v>
      </c>
      <c r="CQ29" s="22" t="n">
        <f aca="false">SUMPRODUCT(CQ$8:CQ$18,Roles!$I$18:$I$28)</f>
        <v>0</v>
      </c>
      <c r="CR29" s="22" t="n">
        <f aca="false">SUMPRODUCT(CR$8:CR$18,Roles!$I$18:$I$28)</f>
        <v>0</v>
      </c>
      <c r="CS29" s="22" t="n">
        <f aca="false">SUMPRODUCT(CS$8:CS$18,Roles!$I$18:$I$28)</f>
        <v>0</v>
      </c>
      <c r="CT29" s="22" t="n">
        <f aca="false">SUMPRODUCT(CT$8:CT$18,Roles!$I$18:$I$28)</f>
        <v>0</v>
      </c>
      <c r="CU29" s="22" t="n">
        <f aca="false">SUMPRODUCT(CU$8:CU$18,Roles!$I$18:$I$28)</f>
        <v>0</v>
      </c>
      <c r="CV29" s="22" t="n">
        <f aca="false">SUMPRODUCT(CV$8:CV$18,Roles!$I$18:$I$28)</f>
        <v>0</v>
      </c>
      <c r="CW29" s="22" t="n">
        <f aca="false">SUMPRODUCT(CW$8:CW$18,Roles!$I$18:$I$28)</f>
        <v>0</v>
      </c>
      <c r="CX29" s="22" t="n">
        <f aca="false">SUMPRODUCT(CX$8:CX$18,Roles!$I$18:$I$28)</f>
        <v>0</v>
      </c>
      <c r="CY29" s="22" t="n">
        <f aca="false">SUMPRODUCT(CY$8:CY$18,Roles!$I$18:$I$28)</f>
        <v>0</v>
      </c>
      <c r="CZ29" s="22" t="n">
        <f aca="false">SUMPRODUCT(CZ$8:CZ$18,Roles!$I$18:$I$28)</f>
        <v>0</v>
      </c>
      <c r="DA29" s="22" t="n">
        <f aca="false">SUMPRODUCT(DA$8:DA$18,Roles!$I$18:$I$28)</f>
        <v>0</v>
      </c>
      <c r="DB29" s="22" t="n">
        <f aca="false">SUMPRODUCT(DB$8:DB$18,Roles!$I$18:$I$28)</f>
        <v>0</v>
      </c>
      <c r="DC29" s="22" t="n">
        <f aca="false">SUMPRODUCT(DC$8:DC$18,Roles!$I$18:$I$28)</f>
        <v>0</v>
      </c>
      <c r="DD29" s="22" t="n">
        <f aca="false">SUMPRODUCT(DD$8:DD$18,Roles!$I$18:$I$28)</f>
        <v>0</v>
      </c>
      <c r="DE29" s="22" t="n">
        <f aca="false">SUMPRODUCT(DE$8:DE$18,Roles!$I$18:$I$28)</f>
        <v>0</v>
      </c>
    </row>
    <row r="30" customFormat="false" ht="15" hidden="false" customHeight="false" outlineLevel="0" collapsed="false">
      <c r="A30" s="9" t="str">
        <f aca="false">Roles!B13</f>
        <v>QA engineer</v>
      </c>
      <c r="B30" s="2"/>
      <c r="C30" s="2"/>
      <c r="D30" s="22" t="n">
        <f aca="false">SUM(F30:DE30)</f>
        <v>1288</v>
      </c>
      <c r="E30" s="2"/>
      <c r="F30" s="22" t="n">
        <f aca="false">SUMPRODUCT(F$8:F$18,Roles!$J$18:$J$28)</f>
        <v>0</v>
      </c>
      <c r="G30" s="22" t="n">
        <f aca="false">SUMPRODUCT(G$8:G$18,Roles!$J$18:$J$28)</f>
        <v>0</v>
      </c>
      <c r="H30" s="22" t="n">
        <f aca="false">SUMPRODUCT(H$8:H$18,Roles!$J$18:$J$28)</f>
        <v>0</v>
      </c>
      <c r="I30" s="22" t="n">
        <f aca="false">SUMPRODUCT(I$8:I$18,Roles!$J$18:$J$28)</f>
        <v>0</v>
      </c>
      <c r="J30" s="22" t="n">
        <f aca="false">SUMPRODUCT(J$8:J$18,Roles!$J$18:$J$28)</f>
        <v>0</v>
      </c>
      <c r="K30" s="22" t="n">
        <f aca="false">SUMPRODUCT(K$8:K$18,Roles!$J$18:$J$28)</f>
        <v>0</v>
      </c>
      <c r="L30" s="22" t="n">
        <f aca="false">SUMPRODUCT(L$8:L$18,Roles!$J$18:$J$28)</f>
        <v>0</v>
      </c>
      <c r="M30" s="22" t="n">
        <f aca="false">SUMPRODUCT(M$8:M$18,Roles!$J$18:$J$28)</f>
        <v>0</v>
      </c>
      <c r="N30" s="22" t="n">
        <f aca="false">SUMPRODUCT(N$8:N$18,Roles!$J$18:$J$28)</f>
        <v>0</v>
      </c>
      <c r="O30" s="22" t="n">
        <f aca="false">SUMPRODUCT(O$8:O$18,Roles!$J$18:$J$28)</f>
        <v>0</v>
      </c>
      <c r="P30" s="22" t="n">
        <f aca="false">SUMPRODUCT(P$8:P$18,Roles!$J$18:$J$28)</f>
        <v>61.3333333333333</v>
      </c>
      <c r="Q30" s="22" t="n">
        <f aca="false">SUMPRODUCT(Q$8:Q$18,Roles!$J$18:$J$28)</f>
        <v>61.3333333333333</v>
      </c>
      <c r="R30" s="22" t="n">
        <f aca="false">SUMPRODUCT(R$8:R$18,Roles!$J$18:$J$28)</f>
        <v>61.3333333333333</v>
      </c>
      <c r="S30" s="22" t="n">
        <f aca="false">SUMPRODUCT(S$8:S$18,Roles!$J$18:$J$28)</f>
        <v>61.3333333333333</v>
      </c>
      <c r="T30" s="22" t="n">
        <f aca="false">SUMPRODUCT(T$8:T$18,Roles!$J$18:$J$28)</f>
        <v>61.3333333333333</v>
      </c>
      <c r="U30" s="22" t="n">
        <f aca="false">SUMPRODUCT(U$8:U$18,Roles!$J$18:$J$28)</f>
        <v>61.3333333333333</v>
      </c>
      <c r="V30" s="22" t="n">
        <f aca="false">SUMPRODUCT(V$8:V$18,Roles!$J$18:$J$28)</f>
        <v>61.3333333333333</v>
      </c>
      <c r="W30" s="22" t="n">
        <f aca="false">SUMPRODUCT(W$8:W$18,Roles!$J$18:$J$28)</f>
        <v>61.3333333333333</v>
      </c>
      <c r="X30" s="22" t="n">
        <f aca="false">SUMPRODUCT(X$8:X$18,Roles!$J$18:$J$28)</f>
        <v>61.3333333333333</v>
      </c>
      <c r="Y30" s="22" t="n">
        <f aca="false">SUMPRODUCT(Y$8:Y$18,Roles!$J$18:$J$28)</f>
        <v>61.3333333333333</v>
      </c>
      <c r="Z30" s="22" t="n">
        <f aca="false">SUMPRODUCT(Z$8:Z$18,Roles!$J$18:$J$28)</f>
        <v>61.3333333333333</v>
      </c>
      <c r="AA30" s="22" t="n">
        <f aca="false">SUMPRODUCT(AA$8:AA$18,Roles!$J$18:$J$28)</f>
        <v>61.3333333333333</v>
      </c>
      <c r="AB30" s="22" t="n">
        <f aca="false">SUMPRODUCT(AB$8:AB$18,Roles!$J$18:$J$28)</f>
        <v>61.3333333333333</v>
      </c>
      <c r="AC30" s="22" t="n">
        <f aca="false">SUMPRODUCT(AC$8:AC$18,Roles!$J$18:$J$28)</f>
        <v>61.3333333333333</v>
      </c>
      <c r="AD30" s="22" t="n">
        <f aca="false">SUMPRODUCT(AD$8:AD$18,Roles!$J$18:$J$28)</f>
        <v>61.3333333333333</v>
      </c>
      <c r="AE30" s="22" t="n">
        <f aca="false">SUMPRODUCT(AE$8:AE$18,Roles!$J$18:$J$28)</f>
        <v>61.3333333333333</v>
      </c>
      <c r="AF30" s="22" t="n">
        <f aca="false">SUMPRODUCT(AF$8:AF$18,Roles!$J$18:$J$28)</f>
        <v>61.3333333333333</v>
      </c>
      <c r="AG30" s="22" t="n">
        <f aca="false">SUMPRODUCT(AG$8:AG$18,Roles!$J$18:$J$28)</f>
        <v>61.3333333333333</v>
      </c>
      <c r="AH30" s="22" t="n">
        <f aca="false">SUMPRODUCT(AH$8:AH$18,Roles!$J$18:$J$28)</f>
        <v>61.3333333333333</v>
      </c>
      <c r="AI30" s="22" t="n">
        <f aca="false">SUMPRODUCT(AI$8:AI$18,Roles!$J$18:$J$28)</f>
        <v>61.3333333333333</v>
      </c>
      <c r="AJ30" s="22" t="n">
        <f aca="false">SUMPRODUCT(AJ$8:AJ$18,Roles!$J$18:$J$28)</f>
        <v>61.3333333333333</v>
      </c>
      <c r="AK30" s="22" t="n">
        <f aca="false">SUMPRODUCT(AK$8:AK$18,Roles!$J$18:$J$28)</f>
        <v>0</v>
      </c>
      <c r="AL30" s="22" t="n">
        <f aca="false">SUMPRODUCT(AL$8:AL$18,Roles!$J$18:$J$28)</f>
        <v>0</v>
      </c>
      <c r="AM30" s="22" t="n">
        <f aca="false">SUMPRODUCT(AM$8:AM$18,Roles!$J$18:$J$28)</f>
        <v>0</v>
      </c>
      <c r="AN30" s="22" t="n">
        <f aca="false">SUMPRODUCT(AN$8:AN$18,Roles!$J$18:$J$28)</f>
        <v>0</v>
      </c>
      <c r="AO30" s="22" t="n">
        <f aca="false">SUMPRODUCT(AO$8:AO$18,Roles!$J$18:$J$28)</f>
        <v>0</v>
      </c>
      <c r="AP30" s="22" t="n">
        <f aca="false">SUMPRODUCT(AP$8:AP$18,Roles!$J$18:$J$28)</f>
        <v>0</v>
      </c>
      <c r="AQ30" s="22" t="n">
        <f aca="false">SUMPRODUCT(AQ$8:AQ$18,Roles!$J$18:$J$28)</f>
        <v>0</v>
      </c>
      <c r="AR30" s="22" t="n">
        <f aca="false">SUMPRODUCT(AR$8:AR$18,Roles!$J$18:$J$28)</f>
        <v>0</v>
      </c>
      <c r="AS30" s="22" t="n">
        <f aca="false">SUMPRODUCT(AS$8:AS$18,Roles!$J$18:$J$28)</f>
        <v>0</v>
      </c>
      <c r="AT30" s="22" t="n">
        <f aca="false">SUMPRODUCT(AT$8:AT$18,Roles!$J$18:$J$28)</f>
        <v>0</v>
      </c>
      <c r="AU30" s="22" t="n">
        <f aca="false">SUMPRODUCT(AU$8:AU$18,Roles!$J$18:$J$28)</f>
        <v>0</v>
      </c>
      <c r="AV30" s="22" t="n">
        <f aca="false">SUMPRODUCT(AV$8:AV$18,Roles!$J$18:$J$28)</f>
        <v>0</v>
      </c>
      <c r="AW30" s="22" t="n">
        <f aca="false">SUMPRODUCT(AW$8:AW$18,Roles!$J$18:$J$28)</f>
        <v>0</v>
      </c>
      <c r="AX30" s="22" t="n">
        <f aca="false">SUMPRODUCT(AX$8:AX$18,Roles!$J$18:$J$28)</f>
        <v>0</v>
      </c>
      <c r="AY30" s="22" t="n">
        <f aca="false">SUMPRODUCT(AY$8:AY$18,Roles!$J$18:$J$28)</f>
        <v>0</v>
      </c>
      <c r="AZ30" s="22" t="n">
        <f aca="false">SUMPRODUCT(AZ$8:AZ$18,Roles!$J$18:$J$28)</f>
        <v>0</v>
      </c>
      <c r="BA30" s="22" t="n">
        <f aca="false">SUMPRODUCT(BA$8:BA$18,Roles!$J$18:$J$28)</f>
        <v>0</v>
      </c>
      <c r="BB30" s="22" t="n">
        <f aca="false">SUMPRODUCT(BB$8:BB$18,Roles!$J$18:$J$28)</f>
        <v>0</v>
      </c>
      <c r="BC30" s="22" t="n">
        <f aca="false">SUMPRODUCT(BC$8:BC$18,Roles!$J$18:$J$28)</f>
        <v>0</v>
      </c>
      <c r="BD30" s="22" t="n">
        <f aca="false">SUMPRODUCT(BD$8:BD$18,Roles!$J$18:$J$28)</f>
        <v>0</v>
      </c>
      <c r="BE30" s="22" t="n">
        <f aca="false">SUMPRODUCT(BE$8:BE$18,Roles!$J$18:$J$28)</f>
        <v>0</v>
      </c>
      <c r="BF30" s="22" t="n">
        <f aca="false">SUMPRODUCT(BF$8:BF$18,Roles!$J$18:$J$28)</f>
        <v>0</v>
      </c>
      <c r="BG30" s="22" t="n">
        <f aca="false">SUMPRODUCT(BG$8:BG$18,Roles!$J$18:$J$28)</f>
        <v>0</v>
      </c>
      <c r="BH30" s="22" t="n">
        <f aca="false">SUMPRODUCT(BH$8:BH$18,Roles!$J$18:$J$28)</f>
        <v>0</v>
      </c>
      <c r="BI30" s="22" t="n">
        <f aca="false">SUMPRODUCT(BI$8:BI$18,Roles!$J$18:$J$28)</f>
        <v>0</v>
      </c>
      <c r="BJ30" s="22" t="n">
        <f aca="false">SUMPRODUCT(BJ$8:BJ$18,Roles!$J$18:$J$28)</f>
        <v>0</v>
      </c>
      <c r="BK30" s="22" t="n">
        <f aca="false">SUMPRODUCT(BK$8:BK$18,Roles!$J$18:$J$28)</f>
        <v>0</v>
      </c>
      <c r="BL30" s="22" t="n">
        <f aca="false">SUMPRODUCT(BL$8:BL$18,Roles!$J$18:$J$28)</f>
        <v>0</v>
      </c>
      <c r="BM30" s="22" t="n">
        <f aca="false">SUMPRODUCT(BM$8:BM$18,Roles!$J$18:$J$28)</f>
        <v>0</v>
      </c>
      <c r="BN30" s="22" t="n">
        <f aca="false">SUMPRODUCT(BN$8:BN$18,Roles!$J$18:$J$28)</f>
        <v>0</v>
      </c>
      <c r="BO30" s="22" t="n">
        <f aca="false">SUMPRODUCT(BO$8:BO$18,Roles!$J$18:$J$28)</f>
        <v>0</v>
      </c>
      <c r="BP30" s="22" t="n">
        <f aca="false">SUMPRODUCT(BP$8:BP$18,Roles!$J$18:$J$28)</f>
        <v>0</v>
      </c>
      <c r="BQ30" s="22" t="n">
        <f aca="false">SUMPRODUCT(BQ$8:BQ$18,Roles!$J$18:$J$28)</f>
        <v>0</v>
      </c>
      <c r="BR30" s="22" t="n">
        <f aca="false">SUMPRODUCT(BR$8:BR$18,Roles!$J$18:$J$28)</f>
        <v>0</v>
      </c>
      <c r="BS30" s="22" t="n">
        <f aca="false">SUMPRODUCT(BS$8:BS$18,Roles!$J$18:$J$28)</f>
        <v>0</v>
      </c>
      <c r="BT30" s="22" t="n">
        <f aca="false">SUMPRODUCT(BT$8:BT$18,Roles!$J$18:$J$28)</f>
        <v>0</v>
      </c>
      <c r="BU30" s="22" t="n">
        <f aca="false">SUMPRODUCT(BU$8:BU$18,Roles!$J$18:$J$28)</f>
        <v>0</v>
      </c>
      <c r="BV30" s="22" t="n">
        <f aca="false">SUMPRODUCT(BV$8:BV$18,Roles!$J$18:$J$28)</f>
        <v>0</v>
      </c>
      <c r="BW30" s="22" t="n">
        <f aca="false">SUMPRODUCT(BW$8:BW$18,Roles!$J$18:$J$28)</f>
        <v>0</v>
      </c>
      <c r="BX30" s="22" t="n">
        <f aca="false">SUMPRODUCT(BX$8:BX$18,Roles!$J$18:$J$28)</f>
        <v>0</v>
      </c>
      <c r="BY30" s="22" t="n">
        <f aca="false">SUMPRODUCT(BY$8:BY$18,Roles!$J$18:$J$28)</f>
        <v>0</v>
      </c>
      <c r="BZ30" s="22" t="n">
        <f aca="false">SUMPRODUCT(BZ$8:BZ$18,Roles!$J$18:$J$28)</f>
        <v>0</v>
      </c>
      <c r="CA30" s="22" t="n">
        <f aca="false">SUMPRODUCT(CA$8:CA$18,Roles!$J$18:$J$28)</f>
        <v>0</v>
      </c>
      <c r="CB30" s="22" t="n">
        <f aca="false">SUMPRODUCT(CB$8:CB$18,Roles!$J$18:$J$28)</f>
        <v>0</v>
      </c>
      <c r="CC30" s="22" t="n">
        <f aca="false">SUMPRODUCT(CC$8:CC$18,Roles!$J$18:$J$28)</f>
        <v>0</v>
      </c>
      <c r="CD30" s="22" t="n">
        <f aca="false">SUMPRODUCT(CD$8:CD$18,Roles!$J$18:$J$28)</f>
        <v>0</v>
      </c>
      <c r="CE30" s="22" t="n">
        <f aca="false">SUMPRODUCT(CE$8:CE$18,Roles!$J$18:$J$28)</f>
        <v>0</v>
      </c>
      <c r="CF30" s="22" t="n">
        <f aca="false">SUMPRODUCT(CF$8:CF$18,Roles!$J$18:$J$28)</f>
        <v>0</v>
      </c>
      <c r="CG30" s="22" t="n">
        <f aca="false">SUMPRODUCT(CG$8:CG$18,Roles!$J$18:$J$28)</f>
        <v>0</v>
      </c>
      <c r="CH30" s="22" t="n">
        <f aca="false">SUMPRODUCT(CH$8:CH$18,Roles!$J$18:$J$28)</f>
        <v>0</v>
      </c>
      <c r="CI30" s="22" t="n">
        <f aca="false">SUMPRODUCT(CI$8:CI$18,Roles!$J$18:$J$28)</f>
        <v>0</v>
      </c>
      <c r="CJ30" s="22" t="n">
        <f aca="false">SUMPRODUCT(CJ$8:CJ$18,Roles!$J$18:$J$28)</f>
        <v>0</v>
      </c>
      <c r="CK30" s="22" t="n">
        <f aca="false">SUMPRODUCT(CK$8:CK$18,Roles!$J$18:$J$28)</f>
        <v>0</v>
      </c>
      <c r="CL30" s="22" t="n">
        <f aca="false">SUMPRODUCT(CL$8:CL$18,Roles!$J$18:$J$28)</f>
        <v>0</v>
      </c>
      <c r="CM30" s="22" t="n">
        <f aca="false">SUMPRODUCT(CM$8:CM$18,Roles!$J$18:$J$28)</f>
        <v>0</v>
      </c>
      <c r="CN30" s="22" t="n">
        <f aca="false">SUMPRODUCT(CN$8:CN$18,Roles!$J$18:$J$28)</f>
        <v>0</v>
      </c>
      <c r="CO30" s="22" t="n">
        <f aca="false">SUMPRODUCT(CO$8:CO$18,Roles!$J$18:$J$28)</f>
        <v>0</v>
      </c>
      <c r="CP30" s="22" t="n">
        <f aca="false">SUMPRODUCT(CP$8:CP$18,Roles!$J$18:$J$28)</f>
        <v>0</v>
      </c>
      <c r="CQ30" s="22" t="n">
        <f aca="false">SUMPRODUCT(CQ$8:CQ$18,Roles!$J$18:$J$28)</f>
        <v>0</v>
      </c>
      <c r="CR30" s="22" t="n">
        <f aca="false">SUMPRODUCT(CR$8:CR$18,Roles!$J$18:$J$28)</f>
        <v>0</v>
      </c>
      <c r="CS30" s="22" t="n">
        <f aca="false">SUMPRODUCT(CS$8:CS$18,Roles!$J$18:$J$28)</f>
        <v>0</v>
      </c>
      <c r="CT30" s="22" t="n">
        <f aca="false">SUMPRODUCT(CT$8:CT$18,Roles!$J$18:$J$28)</f>
        <v>0</v>
      </c>
      <c r="CU30" s="22" t="n">
        <f aca="false">SUMPRODUCT(CU$8:CU$18,Roles!$J$18:$J$28)</f>
        <v>0</v>
      </c>
      <c r="CV30" s="22" t="n">
        <f aca="false">SUMPRODUCT(CV$8:CV$18,Roles!$J$18:$J$28)</f>
        <v>0</v>
      </c>
      <c r="CW30" s="22" t="n">
        <f aca="false">SUMPRODUCT(CW$8:CW$18,Roles!$J$18:$J$28)</f>
        <v>0</v>
      </c>
      <c r="CX30" s="22" t="n">
        <f aca="false">SUMPRODUCT(CX$8:CX$18,Roles!$J$18:$J$28)</f>
        <v>0</v>
      </c>
      <c r="CY30" s="22" t="n">
        <f aca="false">SUMPRODUCT(CY$8:CY$18,Roles!$J$18:$J$28)</f>
        <v>0</v>
      </c>
      <c r="CZ30" s="22" t="n">
        <f aca="false">SUMPRODUCT(CZ$8:CZ$18,Roles!$J$18:$J$28)</f>
        <v>0</v>
      </c>
      <c r="DA30" s="22" t="n">
        <f aca="false">SUMPRODUCT(DA$8:DA$18,Roles!$J$18:$J$28)</f>
        <v>0</v>
      </c>
      <c r="DB30" s="22" t="n">
        <f aca="false">SUMPRODUCT(DB$8:DB$18,Roles!$J$18:$J$28)</f>
        <v>0</v>
      </c>
      <c r="DC30" s="22" t="n">
        <f aca="false">SUMPRODUCT(DC$8:DC$18,Roles!$J$18:$J$28)</f>
        <v>0</v>
      </c>
      <c r="DD30" s="22" t="n">
        <f aca="false">SUMPRODUCT(DD$8:DD$18,Roles!$J$18:$J$28)</f>
        <v>0</v>
      </c>
      <c r="DE30" s="22" t="n">
        <f aca="false">SUMPRODUCT(DE$8:DE$18,Roles!$J$18:$J$28)</f>
        <v>0</v>
      </c>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row>
    <row r="32" customFormat="false" ht="15" hidden="false" customHeight="false" outlineLevel="0" collapsed="false">
      <c r="A32" s="4" t="s">
        <v>585</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row>
    <row r="33" customFormat="false" ht="15" hidden="false" customHeight="false" outlineLevel="0" collapsed="false">
      <c r="A33" s="9" t="str">
        <f aca="false">Roles!B6</f>
        <v>Delivery manager / PM</v>
      </c>
      <c r="B33" s="2"/>
      <c r="C33" s="2"/>
      <c r="D33" s="2"/>
      <c r="E33" s="2"/>
      <c r="F33" s="58" t="n">
        <f aca="false">IF(RoundStep&gt;0,ROUND(F23/HrsWk/RoundStep,0)*RoundStep,F23/HrsWk)</f>
        <v>1</v>
      </c>
      <c r="G33" s="58" t="n">
        <f aca="false">IF(RoundStep&gt;0,ROUND(G23/HrsWk/RoundStep,0)*RoundStep,G23/HrsWk)</f>
        <v>1</v>
      </c>
      <c r="H33" s="58" t="n">
        <f aca="false">IF(RoundStep&gt;0,ROUND(H23/HrsWk/RoundStep,0)*RoundStep,H23/HrsWk)</f>
        <v>1</v>
      </c>
      <c r="I33" s="58" t="n">
        <f aca="false">IF(RoundStep&gt;0,ROUND(I23/HrsWk/RoundStep,0)*RoundStep,I23/HrsWk)</f>
        <v>1</v>
      </c>
      <c r="J33" s="58" t="n">
        <f aca="false">IF(RoundStep&gt;0,ROUND(J23/HrsWk/RoundStep,0)*RoundStep,J23/HrsWk)</f>
        <v>1</v>
      </c>
      <c r="K33" s="58" t="n">
        <f aca="false">IF(RoundStep&gt;0,ROUND(K23/HrsWk/RoundStep,0)*RoundStep,K23/HrsWk)</f>
        <v>1</v>
      </c>
      <c r="L33" s="58" t="n">
        <f aca="false">IF(RoundStep&gt;0,ROUND(L23/HrsWk/RoundStep,0)*RoundStep,L23/HrsWk)</f>
        <v>1</v>
      </c>
      <c r="M33" s="58" t="n">
        <f aca="false">IF(RoundStep&gt;0,ROUND(M23/HrsWk/RoundStep,0)*RoundStep,M23/HrsWk)</f>
        <v>1</v>
      </c>
      <c r="N33" s="58" t="n">
        <f aca="false">IF(RoundStep&gt;0,ROUND(N23/HrsWk/RoundStep,0)*RoundStep,N23/HrsWk)</f>
        <v>1</v>
      </c>
      <c r="O33" s="58" t="n">
        <f aca="false">IF(RoundStep&gt;0,ROUND(O23/HrsWk/RoundStep,0)*RoundStep,O23/HrsWk)</f>
        <v>1</v>
      </c>
      <c r="P33" s="58" t="n">
        <f aca="false">IF(RoundStep&gt;0,ROUND(P23/HrsWk/RoundStep,0)*RoundStep,P23/HrsWk)</f>
        <v>1</v>
      </c>
      <c r="Q33" s="58" t="n">
        <f aca="false">IF(RoundStep&gt;0,ROUND(Q23/HrsWk/RoundStep,0)*RoundStep,Q23/HrsWk)</f>
        <v>1</v>
      </c>
      <c r="R33" s="58" t="n">
        <f aca="false">IF(RoundStep&gt;0,ROUND(R23/HrsWk/RoundStep,0)*RoundStep,R23/HrsWk)</f>
        <v>1</v>
      </c>
      <c r="S33" s="58" t="n">
        <f aca="false">IF(RoundStep&gt;0,ROUND(S23/HrsWk/RoundStep,0)*RoundStep,S23/HrsWk)</f>
        <v>1</v>
      </c>
      <c r="T33" s="58" t="n">
        <f aca="false">IF(RoundStep&gt;0,ROUND(T23/HrsWk/RoundStep,0)*RoundStep,T23/HrsWk)</f>
        <v>1</v>
      </c>
      <c r="U33" s="58" t="n">
        <f aca="false">IF(RoundStep&gt;0,ROUND(U23/HrsWk/RoundStep,0)*RoundStep,U23/HrsWk)</f>
        <v>1</v>
      </c>
      <c r="V33" s="58" t="n">
        <f aca="false">IF(RoundStep&gt;0,ROUND(V23/HrsWk/RoundStep,0)*RoundStep,V23/HrsWk)</f>
        <v>1</v>
      </c>
      <c r="W33" s="58" t="n">
        <f aca="false">IF(RoundStep&gt;0,ROUND(W23/HrsWk/RoundStep,0)*RoundStep,W23/HrsWk)</f>
        <v>1</v>
      </c>
      <c r="X33" s="58" t="n">
        <f aca="false">IF(RoundStep&gt;0,ROUND(X23/HrsWk/RoundStep,0)*RoundStep,X23/HrsWk)</f>
        <v>1</v>
      </c>
      <c r="Y33" s="58" t="n">
        <f aca="false">IF(RoundStep&gt;0,ROUND(Y23/HrsWk/RoundStep,0)*RoundStep,Y23/HrsWk)</f>
        <v>1</v>
      </c>
      <c r="Z33" s="58" t="n">
        <f aca="false">IF(RoundStep&gt;0,ROUND(Z23/HrsWk/RoundStep,0)*RoundStep,Z23/HrsWk)</f>
        <v>1</v>
      </c>
      <c r="AA33" s="58" t="n">
        <f aca="false">IF(RoundStep&gt;0,ROUND(AA23/HrsWk/RoundStep,0)*RoundStep,AA23/HrsWk)</f>
        <v>1</v>
      </c>
      <c r="AB33" s="58" t="n">
        <f aca="false">IF(RoundStep&gt;0,ROUND(AB23/HrsWk/RoundStep,0)*RoundStep,AB23/HrsWk)</f>
        <v>1</v>
      </c>
      <c r="AC33" s="58" t="n">
        <f aca="false">IF(RoundStep&gt;0,ROUND(AC23/HrsWk/RoundStep,0)*RoundStep,AC23/HrsWk)</f>
        <v>1</v>
      </c>
      <c r="AD33" s="58" t="n">
        <f aca="false">IF(RoundStep&gt;0,ROUND(AD23/HrsWk/RoundStep,0)*RoundStep,AD23/HrsWk)</f>
        <v>1</v>
      </c>
      <c r="AE33" s="58" t="n">
        <f aca="false">IF(RoundStep&gt;0,ROUND(AE23/HrsWk/RoundStep,0)*RoundStep,AE23/HrsWk)</f>
        <v>1</v>
      </c>
      <c r="AF33" s="58" t="n">
        <f aca="false">IF(RoundStep&gt;0,ROUND(AF23/HrsWk/RoundStep,0)*RoundStep,AF23/HrsWk)</f>
        <v>1</v>
      </c>
      <c r="AG33" s="58" t="n">
        <f aca="false">IF(RoundStep&gt;0,ROUND(AG23/HrsWk/RoundStep,0)*RoundStep,AG23/HrsWk)</f>
        <v>1</v>
      </c>
      <c r="AH33" s="58" t="n">
        <f aca="false">IF(RoundStep&gt;0,ROUND(AH23/HrsWk/RoundStep,0)*RoundStep,AH23/HrsWk)</f>
        <v>1</v>
      </c>
      <c r="AI33" s="58" t="n">
        <f aca="false">IF(RoundStep&gt;0,ROUND(AI23/HrsWk/RoundStep,0)*RoundStep,AI23/HrsWk)</f>
        <v>1</v>
      </c>
      <c r="AJ33" s="58" t="n">
        <f aca="false">IF(RoundStep&gt;0,ROUND(AJ23/HrsWk/RoundStep,0)*RoundStep,AJ23/HrsWk)</f>
        <v>1</v>
      </c>
      <c r="AK33" s="58" t="n">
        <f aca="false">IF(RoundStep&gt;0,ROUND(AK23/HrsWk/RoundStep,0)*RoundStep,AK23/HrsWk)</f>
        <v>1</v>
      </c>
      <c r="AL33" s="58" t="n">
        <f aca="false">IF(RoundStep&gt;0,ROUND(AL23/HrsWk/RoundStep,0)*RoundStep,AL23/HrsWk)</f>
        <v>1</v>
      </c>
      <c r="AM33" s="58" t="n">
        <f aca="false">IF(RoundStep&gt;0,ROUND(AM23/HrsWk/RoundStep,0)*RoundStep,AM23/HrsWk)</f>
        <v>1</v>
      </c>
      <c r="AN33" s="58" t="n">
        <f aca="false">IF(RoundStep&gt;0,ROUND(AN23/HrsWk/RoundStep,0)*RoundStep,AN23/HrsWk)</f>
        <v>1</v>
      </c>
      <c r="AO33" s="58" t="n">
        <f aca="false">IF(RoundStep&gt;0,ROUND(AO23/HrsWk/RoundStep,0)*RoundStep,AO23/HrsWk)</f>
        <v>1</v>
      </c>
      <c r="AP33" s="58" t="n">
        <f aca="false">IF(RoundStep&gt;0,ROUND(AP23/HrsWk/RoundStep,0)*RoundStep,AP23/HrsWk)</f>
        <v>0</v>
      </c>
      <c r="AQ33" s="58" t="n">
        <f aca="false">IF(RoundStep&gt;0,ROUND(AQ23/HrsWk/RoundStep,0)*RoundStep,AQ23/HrsWk)</f>
        <v>0</v>
      </c>
      <c r="AR33" s="58" t="n">
        <f aca="false">IF(RoundStep&gt;0,ROUND(AR23/HrsWk/RoundStep,0)*RoundStep,AR23/HrsWk)</f>
        <v>0</v>
      </c>
      <c r="AS33" s="58" t="n">
        <f aca="false">IF(RoundStep&gt;0,ROUND(AS23/HrsWk/RoundStep,0)*RoundStep,AS23/HrsWk)</f>
        <v>0</v>
      </c>
      <c r="AT33" s="58" t="n">
        <f aca="false">IF(RoundStep&gt;0,ROUND(AT23/HrsWk/RoundStep,0)*RoundStep,AT23/HrsWk)</f>
        <v>0</v>
      </c>
      <c r="AU33" s="58" t="n">
        <f aca="false">IF(RoundStep&gt;0,ROUND(AU23/HrsWk/RoundStep,0)*RoundStep,AU23/HrsWk)</f>
        <v>0</v>
      </c>
      <c r="AV33" s="58" t="n">
        <f aca="false">IF(RoundStep&gt;0,ROUND(AV23/HrsWk/RoundStep,0)*RoundStep,AV23/HrsWk)</f>
        <v>0</v>
      </c>
      <c r="AW33" s="58" t="n">
        <f aca="false">IF(RoundStep&gt;0,ROUND(AW23/HrsWk/RoundStep,0)*RoundStep,AW23/HrsWk)</f>
        <v>0</v>
      </c>
      <c r="AX33" s="58" t="n">
        <f aca="false">IF(RoundStep&gt;0,ROUND(AX23/HrsWk/RoundStep,0)*RoundStep,AX23/HrsWk)</f>
        <v>0</v>
      </c>
      <c r="AY33" s="58" t="n">
        <f aca="false">IF(RoundStep&gt;0,ROUND(AY23/HrsWk/RoundStep,0)*RoundStep,AY23/HrsWk)</f>
        <v>0</v>
      </c>
      <c r="AZ33" s="58" t="n">
        <f aca="false">IF(RoundStep&gt;0,ROUND(AZ23/HrsWk/RoundStep,0)*RoundStep,AZ23/HrsWk)</f>
        <v>0</v>
      </c>
      <c r="BA33" s="58" t="n">
        <f aca="false">IF(RoundStep&gt;0,ROUND(BA23/HrsWk/RoundStep,0)*RoundStep,BA23/HrsWk)</f>
        <v>0</v>
      </c>
      <c r="BB33" s="58" t="n">
        <f aca="false">IF(RoundStep&gt;0,ROUND(BB23/HrsWk/RoundStep,0)*RoundStep,BB23/HrsWk)</f>
        <v>0</v>
      </c>
      <c r="BC33" s="58" t="n">
        <f aca="false">IF(RoundStep&gt;0,ROUND(BC23/HrsWk/RoundStep,0)*RoundStep,BC23/HrsWk)</f>
        <v>0</v>
      </c>
      <c r="BD33" s="58" t="n">
        <f aca="false">IF(RoundStep&gt;0,ROUND(BD23/HrsWk/RoundStep,0)*RoundStep,BD23/HrsWk)</f>
        <v>0</v>
      </c>
      <c r="BE33" s="58" t="n">
        <f aca="false">IF(RoundStep&gt;0,ROUND(BE23/HrsWk/RoundStep,0)*RoundStep,BE23/HrsWk)</f>
        <v>0</v>
      </c>
      <c r="BF33" s="58" t="n">
        <f aca="false">IF(RoundStep&gt;0,ROUND(BF23/HrsWk/RoundStep,0)*RoundStep,BF23/HrsWk)</f>
        <v>0</v>
      </c>
      <c r="BG33" s="58" t="n">
        <f aca="false">IF(RoundStep&gt;0,ROUND(BG23/HrsWk/RoundStep,0)*RoundStep,BG23/HrsWk)</f>
        <v>0</v>
      </c>
      <c r="BH33" s="58" t="n">
        <f aca="false">IF(RoundStep&gt;0,ROUND(BH23/HrsWk/RoundStep,0)*RoundStep,BH23/HrsWk)</f>
        <v>0</v>
      </c>
      <c r="BI33" s="58" t="n">
        <f aca="false">IF(RoundStep&gt;0,ROUND(BI23/HrsWk/RoundStep,0)*RoundStep,BI23/HrsWk)</f>
        <v>0</v>
      </c>
      <c r="BJ33" s="58" t="n">
        <f aca="false">IF(RoundStep&gt;0,ROUND(BJ23/HrsWk/RoundStep,0)*RoundStep,BJ23/HrsWk)</f>
        <v>0</v>
      </c>
      <c r="BK33" s="58" t="n">
        <f aca="false">IF(RoundStep&gt;0,ROUND(BK23/HrsWk/RoundStep,0)*RoundStep,BK23/HrsWk)</f>
        <v>0</v>
      </c>
      <c r="BL33" s="58" t="n">
        <f aca="false">IF(RoundStep&gt;0,ROUND(BL23/HrsWk/RoundStep,0)*RoundStep,BL23/HrsWk)</f>
        <v>0</v>
      </c>
      <c r="BM33" s="58" t="n">
        <f aca="false">IF(RoundStep&gt;0,ROUND(BM23/HrsWk/RoundStep,0)*RoundStep,BM23/HrsWk)</f>
        <v>0</v>
      </c>
      <c r="BN33" s="58" t="n">
        <f aca="false">IF(RoundStep&gt;0,ROUND(BN23/HrsWk/RoundStep,0)*RoundStep,BN23/HrsWk)</f>
        <v>0</v>
      </c>
      <c r="BO33" s="58" t="n">
        <f aca="false">IF(RoundStep&gt;0,ROUND(BO23/HrsWk/RoundStep,0)*RoundStep,BO23/HrsWk)</f>
        <v>0</v>
      </c>
      <c r="BP33" s="58" t="n">
        <f aca="false">IF(RoundStep&gt;0,ROUND(BP23/HrsWk/RoundStep,0)*RoundStep,BP23/HrsWk)</f>
        <v>0</v>
      </c>
      <c r="BQ33" s="58" t="n">
        <f aca="false">IF(RoundStep&gt;0,ROUND(BQ23/HrsWk/RoundStep,0)*RoundStep,BQ23/HrsWk)</f>
        <v>0</v>
      </c>
      <c r="BR33" s="58" t="n">
        <f aca="false">IF(RoundStep&gt;0,ROUND(BR23/HrsWk/RoundStep,0)*RoundStep,BR23/HrsWk)</f>
        <v>0</v>
      </c>
      <c r="BS33" s="58" t="n">
        <f aca="false">IF(RoundStep&gt;0,ROUND(BS23/HrsWk/RoundStep,0)*RoundStep,BS23/HrsWk)</f>
        <v>0</v>
      </c>
      <c r="BT33" s="58" t="n">
        <f aca="false">IF(RoundStep&gt;0,ROUND(BT23/HrsWk/RoundStep,0)*RoundStep,BT23/HrsWk)</f>
        <v>0</v>
      </c>
      <c r="BU33" s="58" t="n">
        <f aca="false">IF(RoundStep&gt;0,ROUND(BU23/HrsWk/RoundStep,0)*RoundStep,BU23/HrsWk)</f>
        <v>0</v>
      </c>
      <c r="BV33" s="58" t="n">
        <f aca="false">IF(RoundStep&gt;0,ROUND(BV23/HrsWk/RoundStep,0)*RoundStep,BV23/HrsWk)</f>
        <v>0</v>
      </c>
      <c r="BW33" s="58" t="n">
        <f aca="false">IF(RoundStep&gt;0,ROUND(BW23/HrsWk/RoundStep,0)*RoundStep,BW23/HrsWk)</f>
        <v>0</v>
      </c>
      <c r="BX33" s="58" t="n">
        <f aca="false">IF(RoundStep&gt;0,ROUND(BX23/HrsWk/RoundStep,0)*RoundStep,BX23/HrsWk)</f>
        <v>0</v>
      </c>
      <c r="BY33" s="58" t="n">
        <f aca="false">IF(RoundStep&gt;0,ROUND(BY23/HrsWk/RoundStep,0)*RoundStep,BY23/HrsWk)</f>
        <v>0</v>
      </c>
      <c r="BZ33" s="58" t="n">
        <f aca="false">IF(RoundStep&gt;0,ROUND(BZ23/HrsWk/RoundStep,0)*RoundStep,BZ23/HrsWk)</f>
        <v>0</v>
      </c>
      <c r="CA33" s="58" t="n">
        <f aca="false">IF(RoundStep&gt;0,ROUND(CA23/HrsWk/RoundStep,0)*RoundStep,CA23/HrsWk)</f>
        <v>0</v>
      </c>
      <c r="CB33" s="58" t="n">
        <f aca="false">IF(RoundStep&gt;0,ROUND(CB23/HrsWk/RoundStep,0)*RoundStep,CB23/HrsWk)</f>
        <v>0</v>
      </c>
      <c r="CC33" s="58" t="n">
        <f aca="false">IF(RoundStep&gt;0,ROUND(CC23/HrsWk/RoundStep,0)*RoundStep,CC23/HrsWk)</f>
        <v>0</v>
      </c>
      <c r="CD33" s="58" t="n">
        <f aca="false">IF(RoundStep&gt;0,ROUND(CD23/HrsWk/RoundStep,0)*RoundStep,CD23/HrsWk)</f>
        <v>0</v>
      </c>
      <c r="CE33" s="58" t="n">
        <f aca="false">IF(RoundStep&gt;0,ROUND(CE23/HrsWk/RoundStep,0)*RoundStep,CE23/HrsWk)</f>
        <v>0</v>
      </c>
      <c r="CF33" s="58" t="n">
        <f aca="false">IF(RoundStep&gt;0,ROUND(CF23/HrsWk/RoundStep,0)*RoundStep,CF23/HrsWk)</f>
        <v>0</v>
      </c>
      <c r="CG33" s="58" t="n">
        <f aca="false">IF(RoundStep&gt;0,ROUND(CG23/HrsWk/RoundStep,0)*RoundStep,CG23/HrsWk)</f>
        <v>0</v>
      </c>
      <c r="CH33" s="58" t="n">
        <f aca="false">IF(RoundStep&gt;0,ROUND(CH23/HrsWk/RoundStep,0)*RoundStep,CH23/HrsWk)</f>
        <v>0</v>
      </c>
      <c r="CI33" s="58" t="n">
        <f aca="false">IF(RoundStep&gt;0,ROUND(CI23/HrsWk/RoundStep,0)*RoundStep,CI23/HrsWk)</f>
        <v>0</v>
      </c>
      <c r="CJ33" s="58" t="n">
        <f aca="false">IF(RoundStep&gt;0,ROUND(CJ23/HrsWk/RoundStep,0)*RoundStep,CJ23/HrsWk)</f>
        <v>0</v>
      </c>
      <c r="CK33" s="58" t="n">
        <f aca="false">IF(RoundStep&gt;0,ROUND(CK23/HrsWk/RoundStep,0)*RoundStep,CK23/HrsWk)</f>
        <v>0</v>
      </c>
      <c r="CL33" s="58" t="n">
        <f aca="false">IF(RoundStep&gt;0,ROUND(CL23/HrsWk/RoundStep,0)*RoundStep,CL23/HrsWk)</f>
        <v>0</v>
      </c>
      <c r="CM33" s="58" t="n">
        <f aca="false">IF(RoundStep&gt;0,ROUND(CM23/HrsWk/RoundStep,0)*RoundStep,CM23/HrsWk)</f>
        <v>0</v>
      </c>
      <c r="CN33" s="58" t="n">
        <f aca="false">IF(RoundStep&gt;0,ROUND(CN23/HrsWk/RoundStep,0)*RoundStep,CN23/HrsWk)</f>
        <v>0</v>
      </c>
      <c r="CO33" s="58" t="n">
        <f aca="false">IF(RoundStep&gt;0,ROUND(CO23/HrsWk/RoundStep,0)*RoundStep,CO23/HrsWk)</f>
        <v>0</v>
      </c>
      <c r="CP33" s="58" t="n">
        <f aca="false">IF(RoundStep&gt;0,ROUND(CP23/HrsWk/RoundStep,0)*RoundStep,CP23/HrsWk)</f>
        <v>0</v>
      </c>
      <c r="CQ33" s="58" t="n">
        <f aca="false">IF(RoundStep&gt;0,ROUND(CQ23/HrsWk/RoundStep,0)*RoundStep,CQ23/HrsWk)</f>
        <v>0</v>
      </c>
      <c r="CR33" s="58" t="n">
        <f aca="false">IF(RoundStep&gt;0,ROUND(CR23/HrsWk/RoundStep,0)*RoundStep,CR23/HrsWk)</f>
        <v>0</v>
      </c>
      <c r="CS33" s="58" t="n">
        <f aca="false">IF(RoundStep&gt;0,ROUND(CS23/HrsWk/RoundStep,0)*RoundStep,CS23/HrsWk)</f>
        <v>0</v>
      </c>
      <c r="CT33" s="58" t="n">
        <f aca="false">IF(RoundStep&gt;0,ROUND(CT23/HrsWk/RoundStep,0)*RoundStep,CT23/HrsWk)</f>
        <v>0</v>
      </c>
      <c r="CU33" s="58" t="n">
        <f aca="false">IF(RoundStep&gt;0,ROUND(CU23/HrsWk/RoundStep,0)*RoundStep,CU23/HrsWk)</f>
        <v>0</v>
      </c>
      <c r="CV33" s="58" t="n">
        <f aca="false">IF(RoundStep&gt;0,ROUND(CV23/HrsWk/RoundStep,0)*RoundStep,CV23/HrsWk)</f>
        <v>0</v>
      </c>
      <c r="CW33" s="58" t="n">
        <f aca="false">IF(RoundStep&gt;0,ROUND(CW23/HrsWk/RoundStep,0)*RoundStep,CW23/HrsWk)</f>
        <v>0</v>
      </c>
      <c r="CX33" s="58" t="n">
        <f aca="false">IF(RoundStep&gt;0,ROUND(CX23/HrsWk/RoundStep,0)*RoundStep,CX23/HrsWk)</f>
        <v>0</v>
      </c>
      <c r="CY33" s="58" t="n">
        <f aca="false">IF(RoundStep&gt;0,ROUND(CY23/HrsWk/RoundStep,0)*RoundStep,CY23/HrsWk)</f>
        <v>0</v>
      </c>
      <c r="CZ33" s="58" t="n">
        <f aca="false">IF(RoundStep&gt;0,ROUND(CZ23/HrsWk/RoundStep,0)*RoundStep,CZ23/HrsWk)</f>
        <v>0</v>
      </c>
      <c r="DA33" s="58" t="n">
        <f aca="false">IF(RoundStep&gt;0,ROUND(DA23/HrsWk/RoundStep,0)*RoundStep,DA23/HrsWk)</f>
        <v>0</v>
      </c>
      <c r="DB33" s="58" t="n">
        <f aca="false">IF(RoundStep&gt;0,ROUND(DB23/HrsWk/RoundStep,0)*RoundStep,DB23/HrsWk)</f>
        <v>0</v>
      </c>
      <c r="DC33" s="58" t="n">
        <f aca="false">IF(RoundStep&gt;0,ROUND(DC23/HrsWk/RoundStep,0)*RoundStep,DC23/HrsWk)</f>
        <v>0</v>
      </c>
      <c r="DD33" s="58" t="n">
        <f aca="false">IF(RoundStep&gt;0,ROUND(DD23/HrsWk/RoundStep,0)*RoundStep,DD23/HrsWk)</f>
        <v>0</v>
      </c>
      <c r="DE33" s="58" t="n">
        <f aca="false">IF(RoundStep&gt;0,ROUND(DE23/HrsWk/RoundStep,0)*RoundStep,DE23/HrsWk)</f>
        <v>0</v>
      </c>
    </row>
    <row r="34" customFormat="false" ht="15" hidden="false" customHeight="false" outlineLevel="0" collapsed="false">
      <c r="A34" s="9" t="str">
        <f aca="false">Roles!B7</f>
        <v>Onsite architect</v>
      </c>
      <c r="B34" s="2"/>
      <c r="C34" s="2"/>
      <c r="D34" s="2"/>
      <c r="E34" s="2"/>
      <c r="F34" s="58" t="n">
        <f aca="false">IF(RoundStep&gt;0,ROUND(F24/HrsWk/RoundStep,0)*RoundStep,F24/HrsWk)</f>
        <v>0.5</v>
      </c>
      <c r="G34" s="58" t="n">
        <f aca="false">IF(RoundStep&gt;0,ROUND(G24/HrsWk/RoundStep,0)*RoundStep,G24/HrsWk)</f>
        <v>0.5</v>
      </c>
      <c r="H34" s="58" t="n">
        <f aca="false">IF(RoundStep&gt;0,ROUND(H24/HrsWk/RoundStep,0)*RoundStep,H24/HrsWk)</f>
        <v>0.5</v>
      </c>
      <c r="I34" s="58" t="n">
        <f aca="false">IF(RoundStep&gt;0,ROUND(I24/HrsWk/RoundStep,0)*RoundStep,I24/HrsWk)</f>
        <v>1</v>
      </c>
      <c r="J34" s="58" t="n">
        <f aca="false">IF(RoundStep&gt;0,ROUND(J24/HrsWk/RoundStep,0)*RoundStep,J24/HrsWk)</f>
        <v>1</v>
      </c>
      <c r="K34" s="58" t="n">
        <f aca="false">IF(RoundStep&gt;0,ROUND(K24/HrsWk/RoundStep,0)*RoundStep,K24/HrsWk)</f>
        <v>0.5</v>
      </c>
      <c r="L34" s="58" t="n">
        <f aca="false">IF(RoundStep&gt;0,ROUND(L24/HrsWk/RoundStep,0)*RoundStep,L24/HrsWk)</f>
        <v>0</v>
      </c>
      <c r="M34" s="58" t="n">
        <f aca="false">IF(RoundStep&gt;0,ROUND(M24/HrsWk/RoundStep,0)*RoundStep,M24/HrsWk)</f>
        <v>0</v>
      </c>
      <c r="N34" s="58" t="n">
        <f aca="false">IF(RoundStep&gt;0,ROUND(N24/HrsWk/RoundStep,0)*RoundStep,N24/HrsWk)</f>
        <v>0</v>
      </c>
      <c r="O34" s="58" t="n">
        <f aca="false">IF(RoundStep&gt;0,ROUND(O24/HrsWk/RoundStep,0)*RoundStep,O24/HrsWk)</f>
        <v>0</v>
      </c>
      <c r="P34" s="58" t="n">
        <f aca="false">IF(RoundStep&gt;0,ROUND(P24/HrsWk/RoundStep,0)*RoundStep,P24/HrsWk)</f>
        <v>0</v>
      </c>
      <c r="Q34" s="58" t="n">
        <f aca="false">IF(RoundStep&gt;0,ROUND(Q24/HrsWk/RoundStep,0)*RoundStep,Q24/HrsWk)</f>
        <v>0</v>
      </c>
      <c r="R34" s="58" t="n">
        <f aca="false">IF(RoundStep&gt;0,ROUND(R24/HrsWk/RoundStep,0)*RoundStep,R24/HrsWk)</f>
        <v>0</v>
      </c>
      <c r="S34" s="58" t="n">
        <f aca="false">IF(RoundStep&gt;0,ROUND(S24/HrsWk/RoundStep,0)*RoundStep,S24/HrsWk)</f>
        <v>0</v>
      </c>
      <c r="T34" s="58" t="n">
        <f aca="false">IF(RoundStep&gt;0,ROUND(T24/HrsWk/RoundStep,0)*RoundStep,T24/HrsWk)</f>
        <v>0</v>
      </c>
      <c r="U34" s="58" t="n">
        <f aca="false">IF(RoundStep&gt;0,ROUND(U24/HrsWk/RoundStep,0)*RoundStep,U24/HrsWk)</f>
        <v>0</v>
      </c>
      <c r="V34" s="58" t="n">
        <f aca="false">IF(RoundStep&gt;0,ROUND(V24/HrsWk/RoundStep,0)*RoundStep,V24/HrsWk)</f>
        <v>0</v>
      </c>
      <c r="W34" s="58" t="n">
        <f aca="false">IF(RoundStep&gt;0,ROUND(W24/HrsWk/RoundStep,0)*RoundStep,W24/HrsWk)</f>
        <v>0</v>
      </c>
      <c r="X34" s="58" t="n">
        <f aca="false">IF(RoundStep&gt;0,ROUND(X24/HrsWk/RoundStep,0)*RoundStep,X24/HrsWk)</f>
        <v>0</v>
      </c>
      <c r="Y34" s="58" t="n">
        <f aca="false">IF(RoundStep&gt;0,ROUND(Y24/HrsWk/RoundStep,0)*RoundStep,Y24/HrsWk)</f>
        <v>0</v>
      </c>
      <c r="Z34" s="58" t="n">
        <f aca="false">IF(RoundStep&gt;0,ROUND(Z24/HrsWk/RoundStep,0)*RoundStep,Z24/HrsWk)</f>
        <v>0</v>
      </c>
      <c r="AA34" s="58" t="n">
        <f aca="false">IF(RoundStep&gt;0,ROUND(AA24/HrsWk/RoundStep,0)*RoundStep,AA24/HrsWk)</f>
        <v>0</v>
      </c>
      <c r="AB34" s="58" t="n">
        <f aca="false">IF(RoundStep&gt;0,ROUND(AB24/HrsWk/RoundStep,0)*RoundStep,AB24/HrsWk)</f>
        <v>0</v>
      </c>
      <c r="AC34" s="58" t="n">
        <f aca="false">IF(RoundStep&gt;0,ROUND(AC24/HrsWk/RoundStep,0)*RoundStep,AC24/HrsWk)</f>
        <v>0</v>
      </c>
      <c r="AD34" s="58" t="n">
        <f aca="false">IF(RoundStep&gt;0,ROUND(AD24/HrsWk/RoundStep,0)*RoundStep,AD24/HrsWk)</f>
        <v>0</v>
      </c>
      <c r="AE34" s="58" t="n">
        <f aca="false">IF(RoundStep&gt;0,ROUND(AE24/HrsWk/RoundStep,0)*RoundStep,AE24/HrsWk)</f>
        <v>0</v>
      </c>
      <c r="AF34" s="58" t="n">
        <f aca="false">IF(RoundStep&gt;0,ROUND(AF24/HrsWk/RoundStep,0)*RoundStep,AF24/HrsWk)</f>
        <v>0</v>
      </c>
      <c r="AG34" s="58" t="n">
        <f aca="false">IF(RoundStep&gt;0,ROUND(AG24/HrsWk/RoundStep,0)*RoundStep,AG24/HrsWk)</f>
        <v>0</v>
      </c>
      <c r="AH34" s="58" t="n">
        <f aca="false">IF(RoundStep&gt;0,ROUND(AH24/HrsWk/RoundStep,0)*RoundStep,AH24/HrsWk)</f>
        <v>0</v>
      </c>
      <c r="AI34" s="58" t="n">
        <f aca="false">IF(RoundStep&gt;0,ROUND(AI24/HrsWk/RoundStep,0)*RoundStep,AI24/HrsWk)</f>
        <v>0</v>
      </c>
      <c r="AJ34" s="58" t="n">
        <f aca="false">IF(RoundStep&gt;0,ROUND(AJ24/HrsWk/RoundStep,0)*RoundStep,AJ24/HrsWk)</f>
        <v>0</v>
      </c>
      <c r="AK34" s="58" t="n">
        <f aca="false">IF(RoundStep&gt;0,ROUND(AK24/HrsWk/RoundStep,0)*RoundStep,AK24/HrsWk)</f>
        <v>0</v>
      </c>
      <c r="AL34" s="58" t="n">
        <f aca="false">IF(RoundStep&gt;0,ROUND(AL24/HrsWk/RoundStep,0)*RoundStep,AL24/HrsWk)</f>
        <v>0</v>
      </c>
      <c r="AM34" s="58" t="n">
        <f aca="false">IF(RoundStep&gt;0,ROUND(AM24/HrsWk/RoundStep,0)*RoundStep,AM24/HrsWk)</f>
        <v>0</v>
      </c>
      <c r="AN34" s="58" t="n">
        <f aca="false">IF(RoundStep&gt;0,ROUND(AN24/HrsWk/RoundStep,0)*RoundStep,AN24/HrsWk)</f>
        <v>0</v>
      </c>
      <c r="AO34" s="58" t="n">
        <f aca="false">IF(RoundStep&gt;0,ROUND(AO24/HrsWk/RoundStep,0)*RoundStep,AO24/HrsWk)</f>
        <v>0</v>
      </c>
      <c r="AP34" s="58" t="n">
        <f aca="false">IF(RoundStep&gt;0,ROUND(AP24/HrsWk/RoundStep,0)*RoundStep,AP24/HrsWk)</f>
        <v>0</v>
      </c>
      <c r="AQ34" s="58" t="n">
        <f aca="false">IF(RoundStep&gt;0,ROUND(AQ24/HrsWk/RoundStep,0)*RoundStep,AQ24/HrsWk)</f>
        <v>0</v>
      </c>
      <c r="AR34" s="58" t="n">
        <f aca="false">IF(RoundStep&gt;0,ROUND(AR24/HrsWk/RoundStep,0)*RoundStep,AR24/HrsWk)</f>
        <v>0</v>
      </c>
      <c r="AS34" s="58" t="n">
        <f aca="false">IF(RoundStep&gt;0,ROUND(AS24/HrsWk/RoundStep,0)*RoundStep,AS24/HrsWk)</f>
        <v>0</v>
      </c>
      <c r="AT34" s="58" t="n">
        <f aca="false">IF(RoundStep&gt;0,ROUND(AT24/HrsWk/RoundStep,0)*RoundStep,AT24/HrsWk)</f>
        <v>0</v>
      </c>
      <c r="AU34" s="58" t="n">
        <f aca="false">IF(RoundStep&gt;0,ROUND(AU24/HrsWk/RoundStep,0)*RoundStep,AU24/HrsWk)</f>
        <v>0</v>
      </c>
      <c r="AV34" s="58" t="n">
        <f aca="false">IF(RoundStep&gt;0,ROUND(AV24/HrsWk/RoundStep,0)*RoundStep,AV24/HrsWk)</f>
        <v>0</v>
      </c>
      <c r="AW34" s="58" t="n">
        <f aca="false">IF(RoundStep&gt;0,ROUND(AW24/HrsWk/RoundStep,0)*RoundStep,AW24/HrsWk)</f>
        <v>0</v>
      </c>
      <c r="AX34" s="58" t="n">
        <f aca="false">IF(RoundStep&gt;0,ROUND(AX24/HrsWk/RoundStep,0)*RoundStep,AX24/HrsWk)</f>
        <v>0</v>
      </c>
      <c r="AY34" s="58" t="n">
        <f aca="false">IF(RoundStep&gt;0,ROUND(AY24/HrsWk/RoundStep,0)*RoundStep,AY24/HrsWk)</f>
        <v>0</v>
      </c>
      <c r="AZ34" s="58" t="n">
        <f aca="false">IF(RoundStep&gt;0,ROUND(AZ24/HrsWk/RoundStep,0)*RoundStep,AZ24/HrsWk)</f>
        <v>0</v>
      </c>
      <c r="BA34" s="58" t="n">
        <f aca="false">IF(RoundStep&gt;0,ROUND(BA24/HrsWk/RoundStep,0)*RoundStep,BA24/HrsWk)</f>
        <v>0</v>
      </c>
      <c r="BB34" s="58" t="n">
        <f aca="false">IF(RoundStep&gt;0,ROUND(BB24/HrsWk/RoundStep,0)*RoundStep,BB24/HrsWk)</f>
        <v>0</v>
      </c>
      <c r="BC34" s="58" t="n">
        <f aca="false">IF(RoundStep&gt;0,ROUND(BC24/HrsWk/RoundStep,0)*RoundStep,BC24/HrsWk)</f>
        <v>0</v>
      </c>
      <c r="BD34" s="58" t="n">
        <f aca="false">IF(RoundStep&gt;0,ROUND(BD24/HrsWk/RoundStep,0)*RoundStep,BD24/HrsWk)</f>
        <v>0</v>
      </c>
      <c r="BE34" s="58" t="n">
        <f aca="false">IF(RoundStep&gt;0,ROUND(BE24/HrsWk/RoundStep,0)*RoundStep,BE24/HrsWk)</f>
        <v>0</v>
      </c>
      <c r="BF34" s="58" t="n">
        <f aca="false">IF(RoundStep&gt;0,ROUND(BF24/HrsWk/RoundStep,0)*RoundStep,BF24/HrsWk)</f>
        <v>0</v>
      </c>
      <c r="BG34" s="58" t="n">
        <f aca="false">IF(RoundStep&gt;0,ROUND(BG24/HrsWk/RoundStep,0)*RoundStep,BG24/HrsWk)</f>
        <v>0</v>
      </c>
      <c r="BH34" s="58" t="n">
        <f aca="false">IF(RoundStep&gt;0,ROUND(BH24/HrsWk/RoundStep,0)*RoundStep,BH24/HrsWk)</f>
        <v>0</v>
      </c>
      <c r="BI34" s="58" t="n">
        <f aca="false">IF(RoundStep&gt;0,ROUND(BI24/HrsWk/RoundStep,0)*RoundStep,BI24/HrsWk)</f>
        <v>0</v>
      </c>
      <c r="BJ34" s="58" t="n">
        <f aca="false">IF(RoundStep&gt;0,ROUND(BJ24/HrsWk/RoundStep,0)*RoundStep,BJ24/HrsWk)</f>
        <v>0</v>
      </c>
      <c r="BK34" s="58" t="n">
        <f aca="false">IF(RoundStep&gt;0,ROUND(BK24/HrsWk/RoundStep,0)*RoundStep,BK24/HrsWk)</f>
        <v>0</v>
      </c>
      <c r="BL34" s="58" t="n">
        <f aca="false">IF(RoundStep&gt;0,ROUND(BL24/HrsWk/RoundStep,0)*RoundStep,BL24/HrsWk)</f>
        <v>0</v>
      </c>
      <c r="BM34" s="58" t="n">
        <f aca="false">IF(RoundStep&gt;0,ROUND(BM24/HrsWk/RoundStep,0)*RoundStep,BM24/HrsWk)</f>
        <v>0</v>
      </c>
      <c r="BN34" s="58" t="n">
        <f aca="false">IF(RoundStep&gt;0,ROUND(BN24/HrsWk/RoundStep,0)*RoundStep,BN24/HrsWk)</f>
        <v>0</v>
      </c>
      <c r="BO34" s="58" t="n">
        <f aca="false">IF(RoundStep&gt;0,ROUND(BO24/HrsWk/RoundStep,0)*RoundStep,BO24/HrsWk)</f>
        <v>0</v>
      </c>
      <c r="BP34" s="58" t="n">
        <f aca="false">IF(RoundStep&gt;0,ROUND(BP24/HrsWk/RoundStep,0)*RoundStep,BP24/HrsWk)</f>
        <v>0</v>
      </c>
      <c r="BQ34" s="58" t="n">
        <f aca="false">IF(RoundStep&gt;0,ROUND(BQ24/HrsWk/RoundStep,0)*RoundStep,BQ24/HrsWk)</f>
        <v>0</v>
      </c>
      <c r="BR34" s="58" t="n">
        <f aca="false">IF(RoundStep&gt;0,ROUND(BR24/HrsWk/RoundStep,0)*RoundStep,BR24/HrsWk)</f>
        <v>0</v>
      </c>
      <c r="BS34" s="58" t="n">
        <f aca="false">IF(RoundStep&gt;0,ROUND(BS24/HrsWk/RoundStep,0)*RoundStep,BS24/HrsWk)</f>
        <v>0</v>
      </c>
      <c r="BT34" s="58" t="n">
        <f aca="false">IF(RoundStep&gt;0,ROUND(BT24/HrsWk/RoundStep,0)*RoundStep,BT24/HrsWk)</f>
        <v>0</v>
      </c>
      <c r="BU34" s="58" t="n">
        <f aca="false">IF(RoundStep&gt;0,ROUND(BU24/HrsWk/RoundStep,0)*RoundStep,BU24/HrsWk)</f>
        <v>0</v>
      </c>
      <c r="BV34" s="58" t="n">
        <f aca="false">IF(RoundStep&gt;0,ROUND(BV24/HrsWk/RoundStep,0)*RoundStep,BV24/HrsWk)</f>
        <v>0</v>
      </c>
      <c r="BW34" s="58" t="n">
        <f aca="false">IF(RoundStep&gt;0,ROUND(BW24/HrsWk/RoundStep,0)*RoundStep,BW24/HrsWk)</f>
        <v>0</v>
      </c>
      <c r="BX34" s="58" t="n">
        <f aca="false">IF(RoundStep&gt;0,ROUND(BX24/HrsWk/RoundStep,0)*RoundStep,BX24/HrsWk)</f>
        <v>0</v>
      </c>
      <c r="BY34" s="58" t="n">
        <f aca="false">IF(RoundStep&gt;0,ROUND(BY24/HrsWk/RoundStep,0)*RoundStep,BY24/HrsWk)</f>
        <v>0</v>
      </c>
      <c r="BZ34" s="58" t="n">
        <f aca="false">IF(RoundStep&gt;0,ROUND(BZ24/HrsWk/RoundStep,0)*RoundStep,BZ24/HrsWk)</f>
        <v>0</v>
      </c>
      <c r="CA34" s="58" t="n">
        <f aca="false">IF(RoundStep&gt;0,ROUND(CA24/HrsWk/RoundStep,0)*RoundStep,CA24/HrsWk)</f>
        <v>0</v>
      </c>
      <c r="CB34" s="58" t="n">
        <f aca="false">IF(RoundStep&gt;0,ROUND(CB24/HrsWk/RoundStep,0)*RoundStep,CB24/HrsWk)</f>
        <v>0</v>
      </c>
      <c r="CC34" s="58" t="n">
        <f aca="false">IF(RoundStep&gt;0,ROUND(CC24/HrsWk/RoundStep,0)*RoundStep,CC24/HrsWk)</f>
        <v>0</v>
      </c>
      <c r="CD34" s="58" t="n">
        <f aca="false">IF(RoundStep&gt;0,ROUND(CD24/HrsWk/RoundStep,0)*RoundStep,CD24/HrsWk)</f>
        <v>0</v>
      </c>
      <c r="CE34" s="58" t="n">
        <f aca="false">IF(RoundStep&gt;0,ROUND(CE24/HrsWk/RoundStep,0)*RoundStep,CE24/HrsWk)</f>
        <v>0</v>
      </c>
      <c r="CF34" s="58" t="n">
        <f aca="false">IF(RoundStep&gt;0,ROUND(CF24/HrsWk/RoundStep,0)*RoundStep,CF24/HrsWk)</f>
        <v>0</v>
      </c>
      <c r="CG34" s="58" t="n">
        <f aca="false">IF(RoundStep&gt;0,ROUND(CG24/HrsWk/RoundStep,0)*RoundStep,CG24/HrsWk)</f>
        <v>0</v>
      </c>
      <c r="CH34" s="58" t="n">
        <f aca="false">IF(RoundStep&gt;0,ROUND(CH24/HrsWk/RoundStep,0)*RoundStep,CH24/HrsWk)</f>
        <v>0</v>
      </c>
      <c r="CI34" s="58" t="n">
        <f aca="false">IF(RoundStep&gt;0,ROUND(CI24/HrsWk/RoundStep,0)*RoundStep,CI24/HrsWk)</f>
        <v>0</v>
      </c>
      <c r="CJ34" s="58" t="n">
        <f aca="false">IF(RoundStep&gt;0,ROUND(CJ24/HrsWk/RoundStep,0)*RoundStep,CJ24/HrsWk)</f>
        <v>0</v>
      </c>
      <c r="CK34" s="58" t="n">
        <f aca="false">IF(RoundStep&gt;0,ROUND(CK24/HrsWk/RoundStep,0)*RoundStep,CK24/HrsWk)</f>
        <v>0</v>
      </c>
      <c r="CL34" s="58" t="n">
        <f aca="false">IF(RoundStep&gt;0,ROUND(CL24/HrsWk/RoundStep,0)*RoundStep,CL24/HrsWk)</f>
        <v>0</v>
      </c>
      <c r="CM34" s="58" t="n">
        <f aca="false">IF(RoundStep&gt;0,ROUND(CM24/HrsWk/RoundStep,0)*RoundStep,CM24/HrsWk)</f>
        <v>0</v>
      </c>
      <c r="CN34" s="58" t="n">
        <f aca="false">IF(RoundStep&gt;0,ROUND(CN24/HrsWk/RoundStep,0)*RoundStep,CN24/HrsWk)</f>
        <v>0</v>
      </c>
      <c r="CO34" s="58" t="n">
        <f aca="false">IF(RoundStep&gt;0,ROUND(CO24/HrsWk/RoundStep,0)*RoundStep,CO24/HrsWk)</f>
        <v>0</v>
      </c>
      <c r="CP34" s="58" t="n">
        <f aca="false">IF(RoundStep&gt;0,ROUND(CP24/HrsWk/RoundStep,0)*RoundStep,CP24/HrsWk)</f>
        <v>0</v>
      </c>
      <c r="CQ34" s="58" t="n">
        <f aca="false">IF(RoundStep&gt;0,ROUND(CQ24/HrsWk/RoundStep,0)*RoundStep,CQ24/HrsWk)</f>
        <v>0</v>
      </c>
      <c r="CR34" s="58" t="n">
        <f aca="false">IF(RoundStep&gt;0,ROUND(CR24/HrsWk/RoundStep,0)*RoundStep,CR24/HrsWk)</f>
        <v>0</v>
      </c>
      <c r="CS34" s="58" t="n">
        <f aca="false">IF(RoundStep&gt;0,ROUND(CS24/HrsWk/RoundStep,0)*RoundStep,CS24/HrsWk)</f>
        <v>0</v>
      </c>
      <c r="CT34" s="58" t="n">
        <f aca="false">IF(RoundStep&gt;0,ROUND(CT24/HrsWk/RoundStep,0)*RoundStep,CT24/HrsWk)</f>
        <v>0</v>
      </c>
      <c r="CU34" s="58" t="n">
        <f aca="false">IF(RoundStep&gt;0,ROUND(CU24/HrsWk/RoundStep,0)*RoundStep,CU24/HrsWk)</f>
        <v>0</v>
      </c>
      <c r="CV34" s="58" t="n">
        <f aca="false">IF(RoundStep&gt;0,ROUND(CV24/HrsWk/RoundStep,0)*RoundStep,CV24/HrsWk)</f>
        <v>0</v>
      </c>
      <c r="CW34" s="58" t="n">
        <f aca="false">IF(RoundStep&gt;0,ROUND(CW24/HrsWk/RoundStep,0)*RoundStep,CW24/HrsWk)</f>
        <v>0</v>
      </c>
      <c r="CX34" s="58" t="n">
        <f aca="false">IF(RoundStep&gt;0,ROUND(CX24/HrsWk/RoundStep,0)*RoundStep,CX24/HrsWk)</f>
        <v>0</v>
      </c>
      <c r="CY34" s="58" t="n">
        <f aca="false">IF(RoundStep&gt;0,ROUND(CY24/HrsWk/RoundStep,0)*RoundStep,CY24/HrsWk)</f>
        <v>0</v>
      </c>
      <c r="CZ34" s="58" t="n">
        <f aca="false">IF(RoundStep&gt;0,ROUND(CZ24/HrsWk/RoundStep,0)*RoundStep,CZ24/HrsWk)</f>
        <v>0</v>
      </c>
      <c r="DA34" s="58" t="n">
        <f aca="false">IF(RoundStep&gt;0,ROUND(DA24/HrsWk/RoundStep,0)*RoundStep,DA24/HrsWk)</f>
        <v>0</v>
      </c>
      <c r="DB34" s="58" t="n">
        <f aca="false">IF(RoundStep&gt;0,ROUND(DB24/HrsWk/RoundStep,0)*RoundStep,DB24/HrsWk)</f>
        <v>0</v>
      </c>
      <c r="DC34" s="58" t="n">
        <f aca="false">IF(RoundStep&gt;0,ROUND(DC24/HrsWk/RoundStep,0)*RoundStep,DC24/HrsWk)</f>
        <v>0</v>
      </c>
      <c r="DD34" s="58" t="n">
        <f aca="false">IF(RoundStep&gt;0,ROUND(DD24/HrsWk/RoundStep,0)*RoundStep,DD24/HrsWk)</f>
        <v>0</v>
      </c>
      <c r="DE34" s="58" t="n">
        <f aca="false">IF(RoundStep&gt;0,ROUND(DE24/HrsWk/RoundStep,0)*RoundStep,DE24/HrsWk)</f>
        <v>0</v>
      </c>
    </row>
    <row r="35" customFormat="false" ht="15" hidden="false" customHeight="false" outlineLevel="0" collapsed="false">
      <c r="A35" s="9" t="str">
        <f aca="false">Roles!B8</f>
        <v>Solution architect</v>
      </c>
      <c r="B35" s="2"/>
      <c r="C35" s="2"/>
      <c r="D35" s="2"/>
      <c r="E35" s="2"/>
      <c r="F35" s="58" t="n">
        <f aca="false">IF(RoundStep&gt;0,ROUND(F25/HrsWk/RoundStep,0)*RoundStep,F25/HrsWk)</f>
        <v>1</v>
      </c>
      <c r="G35" s="58" t="n">
        <f aca="false">IF(RoundStep&gt;0,ROUND(G25/HrsWk/RoundStep,0)*RoundStep,G25/HrsWk)</f>
        <v>1</v>
      </c>
      <c r="H35" s="58" t="n">
        <f aca="false">IF(RoundStep&gt;0,ROUND(H25/HrsWk/RoundStep,0)*RoundStep,H25/HrsWk)</f>
        <v>1</v>
      </c>
      <c r="I35" s="58" t="n">
        <f aca="false">IF(RoundStep&gt;0,ROUND(I25/HrsWk/RoundStep,0)*RoundStep,I25/HrsWk)</f>
        <v>1.5</v>
      </c>
      <c r="J35" s="58" t="n">
        <f aca="false">IF(RoundStep&gt;0,ROUND(J25/HrsWk/RoundStep,0)*RoundStep,J25/HrsWk)</f>
        <v>1.5</v>
      </c>
      <c r="K35" s="58" t="n">
        <f aca="false">IF(RoundStep&gt;0,ROUND(K25/HrsWk/RoundStep,0)*RoundStep,K25/HrsWk)</f>
        <v>1</v>
      </c>
      <c r="L35" s="58" t="n">
        <f aca="false">IF(RoundStep&gt;0,ROUND(L25/HrsWk/RoundStep,0)*RoundStep,L25/HrsWk)</f>
        <v>0</v>
      </c>
      <c r="M35" s="58" t="n">
        <f aca="false">IF(RoundStep&gt;0,ROUND(M25/HrsWk/RoundStep,0)*RoundStep,M25/HrsWk)</f>
        <v>0</v>
      </c>
      <c r="N35" s="58" t="n">
        <f aca="false">IF(RoundStep&gt;0,ROUND(N25/HrsWk/RoundStep,0)*RoundStep,N25/HrsWk)</f>
        <v>0</v>
      </c>
      <c r="O35" s="58" t="n">
        <f aca="false">IF(RoundStep&gt;0,ROUND(O25/HrsWk/RoundStep,0)*RoundStep,O25/HrsWk)</f>
        <v>0</v>
      </c>
      <c r="P35" s="58" t="n">
        <f aca="false">IF(RoundStep&gt;0,ROUND(P25/HrsWk/RoundStep,0)*RoundStep,P25/HrsWk)</f>
        <v>0</v>
      </c>
      <c r="Q35" s="58" t="n">
        <f aca="false">IF(RoundStep&gt;0,ROUND(Q25/HrsWk/RoundStep,0)*RoundStep,Q25/HrsWk)</f>
        <v>0</v>
      </c>
      <c r="R35" s="58" t="n">
        <f aca="false">IF(RoundStep&gt;0,ROUND(R25/HrsWk/RoundStep,0)*RoundStep,R25/HrsWk)</f>
        <v>0</v>
      </c>
      <c r="S35" s="58" t="n">
        <f aca="false">IF(RoundStep&gt;0,ROUND(S25/HrsWk/RoundStep,0)*RoundStep,S25/HrsWk)</f>
        <v>0</v>
      </c>
      <c r="T35" s="58" t="n">
        <f aca="false">IF(RoundStep&gt;0,ROUND(T25/HrsWk/RoundStep,0)*RoundStep,T25/HrsWk)</f>
        <v>0</v>
      </c>
      <c r="U35" s="58" t="n">
        <f aca="false">IF(RoundStep&gt;0,ROUND(U25/HrsWk/RoundStep,0)*RoundStep,U25/HrsWk)</f>
        <v>0</v>
      </c>
      <c r="V35" s="58" t="n">
        <f aca="false">IF(RoundStep&gt;0,ROUND(V25/HrsWk/RoundStep,0)*RoundStep,V25/HrsWk)</f>
        <v>0</v>
      </c>
      <c r="W35" s="58" t="n">
        <f aca="false">IF(RoundStep&gt;0,ROUND(W25/HrsWk/RoundStep,0)*RoundStep,W25/HrsWk)</f>
        <v>0</v>
      </c>
      <c r="X35" s="58" t="n">
        <f aca="false">IF(RoundStep&gt;0,ROUND(X25/HrsWk/RoundStep,0)*RoundStep,X25/HrsWk)</f>
        <v>0</v>
      </c>
      <c r="Y35" s="58" t="n">
        <f aca="false">IF(RoundStep&gt;0,ROUND(Y25/HrsWk/RoundStep,0)*RoundStep,Y25/HrsWk)</f>
        <v>0</v>
      </c>
      <c r="Z35" s="58" t="n">
        <f aca="false">IF(RoundStep&gt;0,ROUND(Z25/HrsWk/RoundStep,0)*RoundStep,Z25/HrsWk)</f>
        <v>0</v>
      </c>
      <c r="AA35" s="58" t="n">
        <f aca="false">IF(RoundStep&gt;0,ROUND(AA25/HrsWk/RoundStep,0)*RoundStep,AA25/HrsWk)</f>
        <v>0</v>
      </c>
      <c r="AB35" s="58" t="n">
        <f aca="false">IF(RoundStep&gt;0,ROUND(AB25/HrsWk/RoundStep,0)*RoundStep,AB25/HrsWk)</f>
        <v>0</v>
      </c>
      <c r="AC35" s="58" t="n">
        <f aca="false">IF(RoundStep&gt;0,ROUND(AC25/HrsWk/RoundStep,0)*RoundStep,AC25/HrsWk)</f>
        <v>0</v>
      </c>
      <c r="AD35" s="58" t="n">
        <f aca="false">IF(RoundStep&gt;0,ROUND(AD25/HrsWk/RoundStep,0)*RoundStep,AD25/HrsWk)</f>
        <v>0</v>
      </c>
      <c r="AE35" s="58" t="n">
        <f aca="false">IF(RoundStep&gt;0,ROUND(AE25/HrsWk/RoundStep,0)*RoundStep,AE25/HrsWk)</f>
        <v>0</v>
      </c>
      <c r="AF35" s="58" t="n">
        <f aca="false">IF(RoundStep&gt;0,ROUND(AF25/HrsWk/RoundStep,0)*RoundStep,AF25/HrsWk)</f>
        <v>0</v>
      </c>
      <c r="AG35" s="58" t="n">
        <f aca="false">IF(RoundStep&gt;0,ROUND(AG25/HrsWk/RoundStep,0)*RoundStep,AG25/HrsWk)</f>
        <v>0</v>
      </c>
      <c r="AH35" s="58" t="n">
        <f aca="false">IF(RoundStep&gt;0,ROUND(AH25/HrsWk/RoundStep,0)*RoundStep,AH25/HrsWk)</f>
        <v>0</v>
      </c>
      <c r="AI35" s="58" t="n">
        <f aca="false">IF(RoundStep&gt;0,ROUND(AI25/HrsWk/RoundStep,0)*RoundStep,AI25/HrsWk)</f>
        <v>0</v>
      </c>
      <c r="AJ35" s="58" t="n">
        <f aca="false">IF(RoundStep&gt;0,ROUND(AJ25/HrsWk/RoundStep,0)*RoundStep,AJ25/HrsWk)</f>
        <v>0</v>
      </c>
      <c r="AK35" s="58" t="n">
        <f aca="false">IF(RoundStep&gt;0,ROUND(AK25/HrsWk/RoundStep,0)*RoundStep,AK25/HrsWk)</f>
        <v>0</v>
      </c>
      <c r="AL35" s="58" t="n">
        <f aca="false">IF(RoundStep&gt;0,ROUND(AL25/HrsWk/RoundStep,0)*RoundStep,AL25/HrsWk)</f>
        <v>0</v>
      </c>
      <c r="AM35" s="58" t="n">
        <f aca="false">IF(RoundStep&gt;0,ROUND(AM25/HrsWk/RoundStep,0)*RoundStep,AM25/HrsWk)</f>
        <v>0</v>
      </c>
      <c r="AN35" s="58" t="n">
        <f aca="false">IF(RoundStep&gt;0,ROUND(AN25/HrsWk/RoundStep,0)*RoundStep,AN25/HrsWk)</f>
        <v>0</v>
      </c>
      <c r="AO35" s="58" t="n">
        <f aca="false">IF(RoundStep&gt;0,ROUND(AO25/HrsWk/RoundStep,0)*RoundStep,AO25/HrsWk)</f>
        <v>0</v>
      </c>
      <c r="AP35" s="58" t="n">
        <f aca="false">IF(RoundStep&gt;0,ROUND(AP25/HrsWk/RoundStep,0)*RoundStep,AP25/HrsWk)</f>
        <v>0</v>
      </c>
      <c r="AQ35" s="58" t="n">
        <f aca="false">IF(RoundStep&gt;0,ROUND(AQ25/HrsWk/RoundStep,0)*RoundStep,AQ25/HrsWk)</f>
        <v>0</v>
      </c>
      <c r="AR35" s="58" t="n">
        <f aca="false">IF(RoundStep&gt;0,ROUND(AR25/HrsWk/RoundStep,0)*RoundStep,AR25/HrsWk)</f>
        <v>0</v>
      </c>
      <c r="AS35" s="58" t="n">
        <f aca="false">IF(RoundStep&gt;0,ROUND(AS25/HrsWk/RoundStep,0)*RoundStep,AS25/HrsWk)</f>
        <v>0</v>
      </c>
      <c r="AT35" s="58" t="n">
        <f aca="false">IF(RoundStep&gt;0,ROUND(AT25/HrsWk/RoundStep,0)*RoundStep,AT25/HrsWk)</f>
        <v>0</v>
      </c>
      <c r="AU35" s="58" t="n">
        <f aca="false">IF(RoundStep&gt;0,ROUND(AU25/HrsWk/RoundStep,0)*RoundStep,AU25/HrsWk)</f>
        <v>0</v>
      </c>
      <c r="AV35" s="58" t="n">
        <f aca="false">IF(RoundStep&gt;0,ROUND(AV25/HrsWk/RoundStep,0)*RoundStep,AV25/HrsWk)</f>
        <v>0</v>
      </c>
      <c r="AW35" s="58" t="n">
        <f aca="false">IF(RoundStep&gt;0,ROUND(AW25/HrsWk/RoundStep,0)*RoundStep,AW25/HrsWk)</f>
        <v>0</v>
      </c>
      <c r="AX35" s="58" t="n">
        <f aca="false">IF(RoundStep&gt;0,ROUND(AX25/HrsWk/RoundStep,0)*RoundStep,AX25/HrsWk)</f>
        <v>0</v>
      </c>
      <c r="AY35" s="58" t="n">
        <f aca="false">IF(RoundStep&gt;0,ROUND(AY25/HrsWk/RoundStep,0)*RoundStep,AY25/HrsWk)</f>
        <v>0</v>
      </c>
      <c r="AZ35" s="58" t="n">
        <f aca="false">IF(RoundStep&gt;0,ROUND(AZ25/HrsWk/RoundStep,0)*RoundStep,AZ25/HrsWk)</f>
        <v>0</v>
      </c>
      <c r="BA35" s="58" t="n">
        <f aca="false">IF(RoundStep&gt;0,ROUND(BA25/HrsWk/RoundStep,0)*RoundStep,BA25/HrsWk)</f>
        <v>0</v>
      </c>
      <c r="BB35" s="58" t="n">
        <f aca="false">IF(RoundStep&gt;0,ROUND(BB25/HrsWk/RoundStep,0)*RoundStep,BB25/HrsWk)</f>
        <v>0</v>
      </c>
      <c r="BC35" s="58" t="n">
        <f aca="false">IF(RoundStep&gt;0,ROUND(BC25/HrsWk/RoundStep,0)*RoundStep,BC25/HrsWk)</f>
        <v>0</v>
      </c>
      <c r="BD35" s="58" t="n">
        <f aca="false">IF(RoundStep&gt;0,ROUND(BD25/HrsWk/RoundStep,0)*RoundStep,BD25/HrsWk)</f>
        <v>0</v>
      </c>
      <c r="BE35" s="58" t="n">
        <f aca="false">IF(RoundStep&gt;0,ROUND(BE25/HrsWk/RoundStep,0)*RoundStep,BE25/HrsWk)</f>
        <v>0</v>
      </c>
      <c r="BF35" s="58" t="n">
        <f aca="false">IF(RoundStep&gt;0,ROUND(BF25/HrsWk/RoundStep,0)*RoundStep,BF25/HrsWk)</f>
        <v>0</v>
      </c>
      <c r="BG35" s="58" t="n">
        <f aca="false">IF(RoundStep&gt;0,ROUND(BG25/HrsWk/RoundStep,0)*RoundStep,BG25/HrsWk)</f>
        <v>0</v>
      </c>
      <c r="BH35" s="58" t="n">
        <f aca="false">IF(RoundStep&gt;0,ROUND(BH25/HrsWk/RoundStep,0)*RoundStep,BH25/HrsWk)</f>
        <v>0</v>
      </c>
      <c r="BI35" s="58" t="n">
        <f aca="false">IF(RoundStep&gt;0,ROUND(BI25/HrsWk/RoundStep,0)*RoundStep,BI25/HrsWk)</f>
        <v>0</v>
      </c>
      <c r="BJ35" s="58" t="n">
        <f aca="false">IF(RoundStep&gt;0,ROUND(BJ25/HrsWk/RoundStep,0)*RoundStep,BJ25/HrsWk)</f>
        <v>0</v>
      </c>
      <c r="BK35" s="58" t="n">
        <f aca="false">IF(RoundStep&gt;0,ROUND(BK25/HrsWk/RoundStep,0)*RoundStep,BK25/HrsWk)</f>
        <v>0</v>
      </c>
      <c r="BL35" s="58" t="n">
        <f aca="false">IF(RoundStep&gt;0,ROUND(BL25/HrsWk/RoundStep,0)*RoundStep,BL25/HrsWk)</f>
        <v>0</v>
      </c>
      <c r="BM35" s="58" t="n">
        <f aca="false">IF(RoundStep&gt;0,ROUND(BM25/HrsWk/RoundStep,0)*RoundStep,BM25/HrsWk)</f>
        <v>0</v>
      </c>
      <c r="BN35" s="58" t="n">
        <f aca="false">IF(RoundStep&gt;0,ROUND(BN25/HrsWk/RoundStep,0)*RoundStep,BN25/HrsWk)</f>
        <v>0</v>
      </c>
      <c r="BO35" s="58" t="n">
        <f aca="false">IF(RoundStep&gt;0,ROUND(BO25/HrsWk/RoundStep,0)*RoundStep,BO25/HrsWk)</f>
        <v>0</v>
      </c>
      <c r="BP35" s="58" t="n">
        <f aca="false">IF(RoundStep&gt;0,ROUND(BP25/HrsWk/RoundStep,0)*RoundStep,BP25/HrsWk)</f>
        <v>0</v>
      </c>
      <c r="BQ35" s="58" t="n">
        <f aca="false">IF(RoundStep&gt;0,ROUND(BQ25/HrsWk/RoundStep,0)*RoundStep,BQ25/HrsWk)</f>
        <v>0</v>
      </c>
      <c r="BR35" s="58" t="n">
        <f aca="false">IF(RoundStep&gt;0,ROUND(BR25/HrsWk/RoundStep,0)*RoundStep,BR25/HrsWk)</f>
        <v>0</v>
      </c>
      <c r="BS35" s="58" t="n">
        <f aca="false">IF(RoundStep&gt;0,ROUND(BS25/HrsWk/RoundStep,0)*RoundStep,BS25/HrsWk)</f>
        <v>0</v>
      </c>
      <c r="BT35" s="58" t="n">
        <f aca="false">IF(RoundStep&gt;0,ROUND(BT25/HrsWk/RoundStep,0)*RoundStep,BT25/HrsWk)</f>
        <v>0</v>
      </c>
      <c r="BU35" s="58" t="n">
        <f aca="false">IF(RoundStep&gt;0,ROUND(BU25/HrsWk/RoundStep,0)*RoundStep,BU25/HrsWk)</f>
        <v>0</v>
      </c>
      <c r="BV35" s="58" t="n">
        <f aca="false">IF(RoundStep&gt;0,ROUND(BV25/HrsWk/RoundStep,0)*RoundStep,BV25/HrsWk)</f>
        <v>0</v>
      </c>
      <c r="BW35" s="58" t="n">
        <f aca="false">IF(RoundStep&gt;0,ROUND(BW25/HrsWk/RoundStep,0)*RoundStep,BW25/HrsWk)</f>
        <v>0</v>
      </c>
      <c r="BX35" s="58" t="n">
        <f aca="false">IF(RoundStep&gt;0,ROUND(BX25/HrsWk/RoundStep,0)*RoundStep,BX25/HrsWk)</f>
        <v>0</v>
      </c>
      <c r="BY35" s="58" t="n">
        <f aca="false">IF(RoundStep&gt;0,ROUND(BY25/HrsWk/RoundStep,0)*RoundStep,BY25/HrsWk)</f>
        <v>0</v>
      </c>
      <c r="BZ35" s="58" t="n">
        <f aca="false">IF(RoundStep&gt;0,ROUND(BZ25/HrsWk/RoundStep,0)*RoundStep,BZ25/HrsWk)</f>
        <v>0</v>
      </c>
      <c r="CA35" s="58" t="n">
        <f aca="false">IF(RoundStep&gt;0,ROUND(CA25/HrsWk/RoundStep,0)*RoundStep,CA25/HrsWk)</f>
        <v>0</v>
      </c>
      <c r="CB35" s="58" t="n">
        <f aca="false">IF(RoundStep&gt;0,ROUND(CB25/HrsWk/RoundStep,0)*RoundStep,CB25/HrsWk)</f>
        <v>0</v>
      </c>
      <c r="CC35" s="58" t="n">
        <f aca="false">IF(RoundStep&gt;0,ROUND(CC25/HrsWk/RoundStep,0)*RoundStep,CC25/HrsWk)</f>
        <v>0</v>
      </c>
      <c r="CD35" s="58" t="n">
        <f aca="false">IF(RoundStep&gt;0,ROUND(CD25/HrsWk/RoundStep,0)*RoundStep,CD25/HrsWk)</f>
        <v>0</v>
      </c>
      <c r="CE35" s="58" t="n">
        <f aca="false">IF(RoundStep&gt;0,ROUND(CE25/HrsWk/RoundStep,0)*RoundStep,CE25/HrsWk)</f>
        <v>0</v>
      </c>
      <c r="CF35" s="58" t="n">
        <f aca="false">IF(RoundStep&gt;0,ROUND(CF25/HrsWk/RoundStep,0)*RoundStep,CF25/HrsWk)</f>
        <v>0</v>
      </c>
      <c r="CG35" s="58" t="n">
        <f aca="false">IF(RoundStep&gt;0,ROUND(CG25/HrsWk/RoundStep,0)*RoundStep,CG25/HrsWk)</f>
        <v>0</v>
      </c>
      <c r="CH35" s="58" t="n">
        <f aca="false">IF(RoundStep&gt;0,ROUND(CH25/HrsWk/RoundStep,0)*RoundStep,CH25/HrsWk)</f>
        <v>0</v>
      </c>
      <c r="CI35" s="58" t="n">
        <f aca="false">IF(RoundStep&gt;0,ROUND(CI25/HrsWk/RoundStep,0)*RoundStep,CI25/HrsWk)</f>
        <v>0</v>
      </c>
      <c r="CJ35" s="58" t="n">
        <f aca="false">IF(RoundStep&gt;0,ROUND(CJ25/HrsWk/RoundStep,0)*RoundStep,CJ25/HrsWk)</f>
        <v>0</v>
      </c>
      <c r="CK35" s="58" t="n">
        <f aca="false">IF(RoundStep&gt;0,ROUND(CK25/HrsWk/RoundStep,0)*RoundStep,CK25/HrsWk)</f>
        <v>0</v>
      </c>
      <c r="CL35" s="58" t="n">
        <f aca="false">IF(RoundStep&gt;0,ROUND(CL25/HrsWk/RoundStep,0)*RoundStep,CL25/HrsWk)</f>
        <v>0</v>
      </c>
      <c r="CM35" s="58" t="n">
        <f aca="false">IF(RoundStep&gt;0,ROUND(CM25/HrsWk/RoundStep,0)*RoundStep,CM25/HrsWk)</f>
        <v>0</v>
      </c>
      <c r="CN35" s="58" t="n">
        <f aca="false">IF(RoundStep&gt;0,ROUND(CN25/HrsWk/RoundStep,0)*RoundStep,CN25/HrsWk)</f>
        <v>0</v>
      </c>
      <c r="CO35" s="58" t="n">
        <f aca="false">IF(RoundStep&gt;0,ROUND(CO25/HrsWk/RoundStep,0)*RoundStep,CO25/HrsWk)</f>
        <v>0</v>
      </c>
      <c r="CP35" s="58" t="n">
        <f aca="false">IF(RoundStep&gt;0,ROUND(CP25/HrsWk/RoundStep,0)*RoundStep,CP25/HrsWk)</f>
        <v>0</v>
      </c>
      <c r="CQ35" s="58" t="n">
        <f aca="false">IF(RoundStep&gt;0,ROUND(CQ25/HrsWk/RoundStep,0)*RoundStep,CQ25/HrsWk)</f>
        <v>0</v>
      </c>
      <c r="CR35" s="58" t="n">
        <f aca="false">IF(RoundStep&gt;0,ROUND(CR25/HrsWk/RoundStep,0)*RoundStep,CR25/HrsWk)</f>
        <v>0</v>
      </c>
      <c r="CS35" s="58" t="n">
        <f aca="false">IF(RoundStep&gt;0,ROUND(CS25/HrsWk/RoundStep,0)*RoundStep,CS25/HrsWk)</f>
        <v>0</v>
      </c>
      <c r="CT35" s="58" t="n">
        <f aca="false">IF(RoundStep&gt;0,ROUND(CT25/HrsWk/RoundStep,0)*RoundStep,CT25/HrsWk)</f>
        <v>0</v>
      </c>
      <c r="CU35" s="58" t="n">
        <f aca="false">IF(RoundStep&gt;0,ROUND(CU25/HrsWk/RoundStep,0)*RoundStep,CU25/HrsWk)</f>
        <v>0</v>
      </c>
      <c r="CV35" s="58" t="n">
        <f aca="false">IF(RoundStep&gt;0,ROUND(CV25/HrsWk/RoundStep,0)*RoundStep,CV25/HrsWk)</f>
        <v>0</v>
      </c>
      <c r="CW35" s="58" t="n">
        <f aca="false">IF(RoundStep&gt;0,ROUND(CW25/HrsWk/RoundStep,0)*RoundStep,CW25/HrsWk)</f>
        <v>0</v>
      </c>
      <c r="CX35" s="58" t="n">
        <f aca="false">IF(RoundStep&gt;0,ROUND(CX25/HrsWk/RoundStep,0)*RoundStep,CX25/HrsWk)</f>
        <v>0</v>
      </c>
      <c r="CY35" s="58" t="n">
        <f aca="false">IF(RoundStep&gt;0,ROUND(CY25/HrsWk/RoundStep,0)*RoundStep,CY25/HrsWk)</f>
        <v>0</v>
      </c>
      <c r="CZ35" s="58" t="n">
        <f aca="false">IF(RoundStep&gt;0,ROUND(CZ25/HrsWk/RoundStep,0)*RoundStep,CZ25/HrsWk)</f>
        <v>0</v>
      </c>
      <c r="DA35" s="58" t="n">
        <f aca="false">IF(RoundStep&gt;0,ROUND(DA25/HrsWk/RoundStep,0)*RoundStep,DA25/HrsWk)</f>
        <v>0</v>
      </c>
      <c r="DB35" s="58" t="n">
        <f aca="false">IF(RoundStep&gt;0,ROUND(DB25/HrsWk/RoundStep,0)*RoundStep,DB25/HrsWk)</f>
        <v>0</v>
      </c>
      <c r="DC35" s="58" t="n">
        <f aca="false">IF(RoundStep&gt;0,ROUND(DC25/HrsWk/RoundStep,0)*RoundStep,DC25/HrsWk)</f>
        <v>0</v>
      </c>
      <c r="DD35" s="58" t="n">
        <f aca="false">IF(RoundStep&gt;0,ROUND(DD25/HrsWk/RoundStep,0)*RoundStep,DD25/HrsWk)</f>
        <v>0</v>
      </c>
      <c r="DE35" s="58" t="n">
        <f aca="false">IF(RoundStep&gt;0,ROUND(DE25/HrsWk/RoundStep,0)*RoundStep,DE25/HrsWk)</f>
        <v>0</v>
      </c>
    </row>
    <row r="36" customFormat="false" ht="15" hidden="false" customHeight="false" outlineLevel="0" collapsed="false">
      <c r="A36" s="9" t="str">
        <f aca="false">Roles!B9</f>
        <v>BI architect</v>
      </c>
      <c r="B36" s="2"/>
      <c r="C36" s="2"/>
      <c r="D36" s="2"/>
      <c r="E36" s="2"/>
      <c r="F36" s="58" t="n">
        <f aca="false">IF(RoundStep&gt;0,ROUND(F26/HrsWk/RoundStep,0)*RoundStep,F26/HrsWk)</f>
        <v>1</v>
      </c>
      <c r="G36" s="58" t="n">
        <f aca="false">IF(RoundStep&gt;0,ROUND(G26/HrsWk/RoundStep,0)*RoundStep,G26/HrsWk)</f>
        <v>1</v>
      </c>
      <c r="H36" s="58" t="n">
        <f aca="false">IF(RoundStep&gt;0,ROUND(H26/HrsWk/RoundStep,0)*RoundStep,H26/HrsWk)</f>
        <v>1</v>
      </c>
      <c r="I36" s="58" t="n">
        <f aca="false">IF(RoundStep&gt;0,ROUND(I26/HrsWk/RoundStep,0)*RoundStep,I26/HrsWk)</f>
        <v>1.5</v>
      </c>
      <c r="J36" s="58" t="n">
        <f aca="false">IF(RoundStep&gt;0,ROUND(J26/HrsWk/RoundStep,0)*RoundStep,J26/HrsWk)</f>
        <v>1.5</v>
      </c>
      <c r="K36" s="58" t="n">
        <f aca="false">IF(RoundStep&gt;0,ROUND(K26/HrsWk/RoundStep,0)*RoundStep,K26/HrsWk)</f>
        <v>1</v>
      </c>
      <c r="L36" s="58" t="n">
        <f aca="false">IF(RoundStep&gt;0,ROUND(L26/HrsWk/RoundStep,0)*RoundStep,L26/HrsWk)</f>
        <v>0.5</v>
      </c>
      <c r="M36" s="58" t="n">
        <f aca="false">IF(RoundStep&gt;0,ROUND(M26/HrsWk/RoundStep,0)*RoundStep,M26/HrsWk)</f>
        <v>0.5</v>
      </c>
      <c r="N36" s="58" t="n">
        <f aca="false">IF(RoundStep&gt;0,ROUND(N26/HrsWk/RoundStep,0)*RoundStep,N26/HrsWk)</f>
        <v>1</v>
      </c>
      <c r="O36" s="58" t="n">
        <f aca="false">IF(RoundStep&gt;0,ROUND(O26/HrsWk/RoundStep,0)*RoundStep,O26/HrsWk)</f>
        <v>1</v>
      </c>
      <c r="P36" s="58" t="n">
        <f aca="false">IF(RoundStep&gt;0,ROUND(P26/HrsWk/RoundStep,0)*RoundStep,P26/HrsWk)</f>
        <v>1</v>
      </c>
      <c r="Q36" s="58" t="n">
        <f aca="false">IF(RoundStep&gt;0,ROUND(Q26/HrsWk/RoundStep,0)*RoundStep,Q26/HrsWk)</f>
        <v>1</v>
      </c>
      <c r="R36" s="58" t="n">
        <f aca="false">IF(RoundStep&gt;0,ROUND(R26/HrsWk/RoundStep,0)*RoundStep,R26/HrsWk)</f>
        <v>1</v>
      </c>
      <c r="S36" s="58" t="n">
        <f aca="false">IF(RoundStep&gt;0,ROUND(S26/HrsWk/RoundStep,0)*RoundStep,S26/HrsWk)</f>
        <v>1</v>
      </c>
      <c r="T36" s="58" t="n">
        <f aca="false">IF(RoundStep&gt;0,ROUND(T26/HrsWk/RoundStep,0)*RoundStep,T26/HrsWk)</f>
        <v>1</v>
      </c>
      <c r="U36" s="58" t="n">
        <f aca="false">IF(RoundStep&gt;0,ROUND(U26/HrsWk/RoundStep,0)*RoundStep,U26/HrsWk)</f>
        <v>1</v>
      </c>
      <c r="V36" s="58" t="n">
        <f aca="false">IF(RoundStep&gt;0,ROUND(V26/HrsWk/RoundStep,0)*RoundStep,V26/HrsWk)</f>
        <v>1</v>
      </c>
      <c r="W36" s="58" t="n">
        <f aca="false">IF(RoundStep&gt;0,ROUND(W26/HrsWk/RoundStep,0)*RoundStep,W26/HrsWk)</f>
        <v>1</v>
      </c>
      <c r="X36" s="58" t="n">
        <f aca="false">IF(RoundStep&gt;0,ROUND(X26/HrsWk/RoundStep,0)*RoundStep,X26/HrsWk)</f>
        <v>0</v>
      </c>
      <c r="Y36" s="58" t="n">
        <f aca="false">IF(RoundStep&gt;0,ROUND(Y26/HrsWk/RoundStep,0)*RoundStep,Y26/HrsWk)</f>
        <v>0</v>
      </c>
      <c r="Z36" s="58" t="n">
        <f aca="false">IF(RoundStep&gt;0,ROUND(Z26/HrsWk/RoundStep,0)*RoundStep,Z26/HrsWk)</f>
        <v>0</v>
      </c>
      <c r="AA36" s="58" t="n">
        <f aca="false">IF(RoundStep&gt;0,ROUND(AA26/HrsWk/RoundStep,0)*RoundStep,AA26/HrsWk)</f>
        <v>0</v>
      </c>
      <c r="AB36" s="58" t="n">
        <f aca="false">IF(RoundStep&gt;0,ROUND(AB26/HrsWk/RoundStep,0)*RoundStep,AB26/HrsWk)</f>
        <v>0</v>
      </c>
      <c r="AC36" s="58" t="n">
        <f aca="false">IF(RoundStep&gt;0,ROUND(AC26/HrsWk/RoundStep,0)*RoundStep,AC26/HrsWk)</f>
        <v>0</v>
      </c>
      <c r="AD36" s="58" t="n">
        <f aca="false">IF(RoundStep&gt;0,ROUND(AD26/HrsWk/RoundStep,0)*RoundStep,AD26/HrsWk)</f>
        <v>0</v>
      </c>
      <c r="AE36" s="58" t="n">
        <f aca="false">IF(RoundStep&gt;0,ROUND(AE26/HrsWk/RoundStep,0)*RoundStep,AE26/HrsWk)</f>
        <v>0</v>
      </c>
      <c r="AF36" s="58" t="n">
        <f aca="false">IF(RoundStep&gt;0,ROUND(AF26/HrsWk/RoundStep,0)*RoundStep,AF26/HrsWk)</f>
        <v>0</v>
      </c>
      <c r="AG36" s="58" t="n">
        <f aca="false">IF(RoundStep&gt;0,ROUND(AG26/HrsWk/RoundStep,0)*RoundStep,AG26/HrsWk)</f>
        <v>0</v>
      </c>
      <c r="AH36" s="58" t="n">
        <f aca="false">IF(RoundStep&gt;0,ROUND(AH26/HrsWk/RoundStep,0)*RoundStep,AH26/HrsWk)</f>
        <v>0</v>
      </c>
      <c r="AI36" s="58" t="n">
        <f aca="false">IF(RoundStep&gt;0,ROUND(AI26/HrsWk/RoundStep,0)*RoundStep,AI26/HrsWk)</f>
        <v>0</v>
      </c>
      <c r="AJ36" s="58" t="n">
        <f aca="false">IF(RoundStep&gt;0,ROUND(AJ26/HrsWk/RoundStep,0)*RoundStep,AJ26/HrsWk)</f>
        <v>0</v>
      </c>
      <c r="AK36" s="58" t="n">
        <f aca="false">IF(RoundStep&gt;0,ROUND(AK26/HrsWk/RoundStep,0)*RoundStep,AK26/HrsWk)</f>
        <v>0</v>
      </c>
      <c r="AL36" s="58" t="n">
        <f aca="false">IF(RoundStep&gt;0,ROUND(AL26/HrsWk/RoundStep,0)*RoundStep,AL26/HrsWk)</f>
        <v>0</v>
      </c>
      <c r="AM36" s="58" t="n">
        <f aca="false">IF(RoundStep&gt;0,ROUND(AM26/HrsWk/RoundStep,0)*RoundStep,AM26/HrsWk)</f>
        <v>0</v>
      </c>
      <c r="AN36" s="58" t="n">
        <f aca="false">IF(RoundStep&gt;0,ROUND(AN26/HrsWk/RoundStep,0)*RoundStep,AN26/HrsWk)</f>
        <v>0</v>
      </c>
      <c r="AO36" s="58" t="n">
        <f aca="false">IF(RoundStep&gt;0,ROUND(AO26/HrsWk/RoundStep,0)*RoundStep,AO26/HrsWk)</f>
        <v>0</v>
      </c>
      <c r="AP36" s="58" t="n">
        <f aca="false">IF(RoundStep&gt;0,ROUND(AP26/HrsWk/RoundStep,0)*RoundStep,AP26/HrsWk)</f>
        <v>0</v>
      </c>
      <c r="AQ36" s="58" t="n">
        <f aca="false">IF(RoundStep&gt;0,ROUND(AQ26/HrsWk/RoundStep,0)*RoundStep,AQ26/HrsWk)</f>
        <v>0</v>
      </c>
      <c r="AR36" s="58" t="n">
        <f aca="false">IF(RoundStep&gt;0,ROUND(AR26/HrsWk/RoundStep,0)*RoundStep,AR26/HrsWk)</f>
        <v>0</v>
      </c>
      <c r="AS36" s="58" t="n">
        <f aca="false">IF(RoundStep&gt;0,ROUND(AS26/HrsWk/RoundStep,0)*RoundStep,AS26/HrsWk)</f>
        <v>0</v>
      </c>
      <c r="AT36" s="58" t="n">
        <f aca="false">IF(RoundStep&gt;0,ROUND(AT26/HrsWk/RoundStep,0)*RoundStep,AT26/HrsWk)</f>
        <v>0</v>
      </c>
      <c r="AU36" s="58" t="n">
        <f aca="false">IF(RoundStep&gt;0,ROUND(AU26/HrsWk/RoundStep,0)*RoundStep,AU26/HrsWk)</f>
        <v>0</v>
      </c>
      <c r="AV36" s="58" t="n">
        <f aca="false">IF(RoundStep&gt;0,ROUND(AV26/HrsWk/RoundStep,0)*RoundStep,AV26/HrsWk)</f>
        <v>0</v>
      </c>
      <c r="AW36" s="58" t="n">
        <f aca="false">IF(RoundStep&gt;0,ROUND(AW26/HrsWk/RoundStep,0)*RoundStep,AW26/HrsWk)</f>
        <v>0</v>
      </c>
      <c r="AX36" s="58" t="n">
        <f aca="false">IF(RoundStep&gt;0,ROUND(AX26/HrsWk/RoundStep,0)*RoundStep,AX26/HrsWk)</f>
        <v>0</v>
      </c>
      <c r="AY36" s="58" t="n">
        <f aca="false">IF(RoundStep&gt;0,ROUND(AY26/HrsWk/RoundStep,0)*RoundStep,AY26/HrsWk)</f>
        <v>0</v>
      </c>
      <c r="AZ36" s="58" t="n">
        <f aca="false">IF(RoundStep&gt;0,ROUND(AZ26/HrsWk/RoundStep,0)*RoundStep,AZ26/HrsWk)</f>
        <v>0</v>
      </c>
      <c r="BA36" s="58" t="n">
        <f aca="false">IF(RoundStep&gt;0,ROUND(BA26/HrsWk/RoundStep,0)*RoundStep,BA26/HrsWk)</f>
        <v>0</v>
      </c>
      <c r="BB36" s="58" t="n">
        <f aca="false">IF(RoundStep&gt;0,ROUND(BB26/HrsWk/RoundStep,0)*RoundStep,BB26/HrsWk)</f>
        <v>0</v>
      </c>
      <c r="BC36" s="58" t="n">
        <f aca="false">IF(RoundStep&gt;0,ROUND(BC26/HrsWk/RoundStep,0)*RoundStep,BC26/HrsWk)</f>
        <v>0</v>
      </c>
      <c r="BD36" s="58" t="n">
        <f aca="false">IF(RoundStep&gt;0,ROUND(BD26/HrsWk/RoundStep,0)*RoundStep,BD26/HrsWk)</f>
        <v>0</v>
      </c>
      <c r="BE36" s="58" t="n">
        <f aca="false">IF(RoundStep&gt;0,ROUND(BE26/HrsWk/RoundStep,0)*RoundStep,BE26/HrsWk)</f>
        <v>0</v>
      </c>
      <c r="BF36" s="58" t="n">
        <f aca="false">IF(RoundStep&gt;0,ROUND(BF26/HrsWk/RoundStep,0)*RoundStep,BF26/HrsWk)</f>
        <v>0</v>
      </c>
      <c r="BG36" s="58" t="n">
        <f aca="false">IF(RoundStep&gt;0,ROUND(BG26/HrsWk/RoundStep,0)*RoundStep,BG26/HrsWk)</f>
        <v>0</v>
      </c>
      <c r="BH36" s="58" t="n">
        <f aca="false">IF(RoundStep&gt;0,ROUND(BH26/HrsWk/RoundStep,0)*RoundStep,BH26/HrsWk)</f>
        <v>0</v>
      </c>
      <c r="BI36" s="58" t="n">
        <f aca="false">IF(RoundStep&gt;0,ROUND(BI26/HrsWk/RoundStep,0)*RoundStep,BI26/HrsWk)</f>
        <v>0</v>
      </c>
      <c r="BJ36" s="58" t="n">
        <f aca="false">IF(RoundStep&gt;0,ROUND(BJ26/HrsWk/RoundStep,0)*RoundStep,BJ26/HrsWk)</f>
        <v>0</v>
      </c>
      <c r="BK36" s="58" t="n">
        <f aca="false">IF(RoundStep&gt;0,ROUND(BK26/HrsWk/RoundStep,0)*RoundStep,BK26/HrsWk)</f>
        <v>0</v>
      </c>
      <c r="BL36" s="58" t="n">
        <f aca="false">IF(RoundStep&gt;0,ROUND(BL26/HrsWk/RoundStep,0)*RoundStep,BL26/HrsWk)</f>
        <v>0</v>
      </c>
      <c r="BM36" s="58" t="n">
        <f aca="false">IF(RoundStep&gt;0,ROUND(BM26/HrsWk/RoundStep,0)*RoundStep,BM26/HrsWk)</f>
        <v>0</v>
      </c>
      <c r="BN36" s="58" t="n">
        <f aca="false">IF(RoundStep&gt;0,ROUND(BN26/HrsWk/RoundStep,0)*RoundStep,BN26/HrsWk)</f>
        <v>0</v>
      </c>
      <c r="BO36" s="58" t="n">
        <f aca="false">IF(RoundStep&gt;0,ROUND(BO26/HrsWk/RoundStep,0)*RoundStep,BO26/HrsWk)</f>
        <v>0</v>
      </c>
      <c r="BP36" s="58" t="n">
        <f aca="false">IF(RoundStep&gt;0,ROUND(BP26/HrsWk/RoundStep,0)*RoundStep,BP26/HrsWk)</f>
        <v>0</v>
      </c>
      <c r="BQ36" s="58" t="n">
        <f aca="false">IF(RoundStep&gt;0,ROUND(BQ26/HrsWk/RoundStep,0)*RoundStep,BQ26/HrsWk)</f>
        <v>0</v>
      </c>
      <c r="BR36" s="58" t="n">
        <f aca="false">IF(RoundStep&gt;0,ROUND(BR26/HrsWk/RoundStep,0)*RoundStep,BR26/HrsWk)</f>
        <v>0</v>
      </c>
      <c r="BS36" s="58" t="n">
        <f aca="false">IF(RoundStep&gt;0,ROUND(BS26/HrsWk/RoundStep,0)*RoundStep,BS26/HrsWk)</f>
        <v>0</v>
      </c>
      <c r="BT36" s="58" t="n">
        <f aca="false">IF(RoundStep&gt;0,ROUND(BT26/HrsWk/RoundStep,0)*RoundStep,BT26/HrsWk)</f>
        <v>0</v>
      </c>
      <c r="BU36" s="58" t="n">
        <f aca="false">IF(RoundStep&gt;0,ROUND(BU26/HrsWk/RoundStep,0)*RoundStep,BU26/HrsWk)</f>
        <v>0</v>
      </c>
      <c r="BV36" s="58" t="n">
        <f aca="false">IF(RoundStep&gt;0,ROUND(BV26/HrsWk/RoundStep,0)*RoundStep,BV26/HrsWk)</f>
        <v>0</v>
      </c>
      <c r="BW36" s="58" t="n">
        <f aca="false">IF(RoundStep&gt;0,ROUND(BW26/HrsWk/RoundStep,0)*RoundStep,BW26/HrsWk)</f>
        <v>0</v>
      </c>
      <c r="BX36" s="58" t="n">
        <f aca="false">IF(RoundStep&gt;0,ROUND(BX26/HrsWk/RoundStep,0)*RoundStep,BX26/HrsWk)</f>
        <v>0</v>
      </c>
      <c r="BY36" s="58" t="n">
        <f aca="false">IF(RoundStep&gt;0,ROUND(BY26/HrsWk/RoundStep,0)*RoundStep,BY26/HrsWk)</f>
        <v>0</v>
      </c>
      <c r="BZ36" s="58" t="n">
        <f aca="false">IF(RoundStep&gt;0,ROUND(BZ26/HrsWk/RoundStep,0)*RoundStep,BZ26/HrsWk)</f>
        <v>0</v>
      </c>
      <c r="CA36" s="58" t="n">
        <f aca="false">IF(RoundStep&gt;0,ROUND(CA26/HrsWk/RoundStep,0)*RoundStep,CA26/HrsWk)</f>
        <v>0</v>
      </c>
      <c r="CB36" s="58" t="n">
        <f aca="false">IF(RoundStep&gt;0,ROUND(CB26/HrsWk/RoundStep,0)*RoundStep,CB26/HrsWk)</f>
        <v>0</v>
      </c>
      <c r="CC36" s="58" t="n">
        <f aca="false">IF(RoundStep&gt;0,ROUND(CC26/HrsWk/RoundStep,0)*RoundStep,CC26/HrsWk)</f>
        <v>0</v>
      </c>
      <c r="CD36" s="58" t="n">
        <f aca="false">IF(RoundStep&gt;0,ROUND(CD26/HrsWk/RoundStep,0)*RoundStep,CD26/HrsWk)</f>
        <v>0</v>
      </c>
      <c r="CE36" s="58" t="n">
        <f aca="false">IF(RoundStep&gt;0,ROUND(CE26/HrsWk/RoundStep,0)*RoundStep,CE26/HrsWk)</f>
        <v>0</v>
      </c>
      <c r="CF36" s="58" t="n">
        <f aca="false">IF(RoundStep&gt;0,ROUND(CF26/HrsWk/RoundStep,0)*RoundStep,CF26/HrsWk)</f>
        <v>0</v>
      </c>
      <c r="CG36" s="58" t="n">
        <f aca="false">IF(RoundStep&gt;0,ROUND(CG26/HrsWk/RoundStep,0)*RoundStep,CG26/HrsWk)</f>
        <v>0</v>
      </c>
      <c r="CH36" s="58" t="n">
        <f aca="false">IF(RoundStep&gt;0,ROUND(CH26/HrsWk/RoundStep,0)*RoundStep,CH26/HrsWk)</f>
        <v>0</v>
      </c>
      <c r="CI36" s="58" t="n">
        <f aca="false">IF(RoundStep&gt;0,ROUND(CI26/HrsWk/RoundStep,0)*RoundStep,CI26/HrsWk)</f>
        <v>0</v>
      </c>
      <c r="CJ36" s="58" t="n">
        <f aca="false">IF(RoundStep&gt;0,ROUND(CJ26/HrsWk/RoundStep,0)*RoundStep,CJ26/HrsWk)</f>
        <v>0</v>
      </c>
      <c r="CK36" s="58" t="n">
        <f aca="false">IF(RoundStep&gt;0,ROUND(CK26/HrsWk/RoundStep,0)*RoundStep,CK26/HrsWk)</f>
        <v>0</v>
      </c>
      <c r="CL36" s="58" t="n">
        <f aca="false">IF(RoundStep&gt;0,ROUND(CL26/HrsWk/RoundStep,0)*RoundStep,CL26/HrsWk)</f>
        <v>0</v>
      </c>
      <c r="CM36" s="58" t="n">
        <f aca="false">IF(RoundStep&gt;0,ROUND(CM26/HrsWk/RoundStep,0)*RoundStep,CM26/HrsWk)</f>
        <v>0</v>
      </c>
      <c r="CN36" s="58" t="n">
        <f aca="false">IF(RoundStep&gt;0,ROUND(CN26/HrsWk/RoundStep,0)*RoundStep,CN26/HrsWk)</f>
        <v>0</v>
      </c>
      <c r="CO36" s="58" t="n">
        <f aca="false">IF(RoundStep&gt;0,ROUND(CO26/HrsWk/RoundStep,0)*RoundStep,CO26/HrsWk)</f>
        <v>0</v>
      </c>
      <c r="CP36" s="58" t="n">
        <f aca="false">IF(RoundStep&gt;0,ROUND(CP26/HrsWk/RoundStep,0)*RoundStep,CP26/HrsWk)</f>
        <v>0</v>
      </c>
      <c r="CQ36" s="58" t="n">
        <f aca="false">IF(RoundStep&gt;0,ROUND(CQ26/HrsWk/RoundStep,0)*RoundStep,CQ26/HrsWk)</f>
        <v>0</v>
      </c>
      <c r="CR36" s="58" t="n">
        <f aca="false">IF(RoundStep&gt;0,ROUND(CR26/HrsWk/RoundStep,0)*RoundStep,CR26/HrsWk)</f>
        <v>0</v>
      </c>
      <c r="CS36" s="58" t="n">
        <f aca="false">IF(RoundStep&gt;0,ROUND(CS26/HrsWk/RoundStep,0)*RoundStep,CS26/HrsWk)</f>
        <v>0</v>
      </c>
      <c r="CT36" s="58" t="n">
        <f aca="false">IF(RoundStep&gt;0,ROUND(CT26/HrsWk/RoundStep,0)*RoundStep,CT26/HrsWk)</f>
        <v>0</v>
      </c>
      <c r="CU36" s="58" t="n">
        <f aca="false">IF(RoundStep&gt;0,ROUND(CU26/HrsWk/RoundStep,0)*RoundStep,CU26/HrsWk)</f>
        <v>0</v>
      </c>
      <c r="CV36" s="58" t="n">
        <f aca="false">IF(RoundStep&gt;0,ROUND(CV26/HrsWk/RoundStep,0)*RoundStep,CV26/HrsWk)</f>
        <v>0</v>
      </c>
      <c r="CW36" s="58" t="n">
        <f aca="false">IF(RoundStep&gt;0,ROUND(CW26/HrsWk/RoundStep,0)*RoundStep,CW26/HrsWk)</f>
        <v>0</v>
      </c>
      <c r="CX36" s="58" t="n">
        <f aca="false">IF(RoundStep&gt;0,ROUND(CX26/HrsWk/RoundStep,0)*RoundStep,CX26/HrsWk)</f>
        <v>0</v>
      </c>
      <c r="CY36" s="58" t="n">
        <f aca="false">IF(RoundStep&gt;0,ROUND(CY26/HrsWk/RoundStep,0)*RoundStep,CY26/HrsWk)</f>
        <v>0</v>
      </c>
      <c r="CZ36" s="58" t="n">
        <f aca="false">IF(RoundStep&gt;0,ROUND(CZ26/HrsWk/RoundStep,0)*RoundStep,CZ26/HrsWk)</f>
        <v>0</v>
      </c>
      <c r="DA36" s="58" t="n">
        <f aca="false">IF(RoundStep&gt;0,ROUND(DA26/HrsWk/RoundStep,0)*RoundStep,DA26/HrsWk)</f>
        <v>0</v>
      </c>
      <c r="DB36" s="58" t="n">
        <f aca="false">IF(RoundStep&gt;0,ROUND(DB26/HrsWk/RoundStep,0)*RoundStep,DB26/HrsWk)</f>
        <v>0</v>
      </c>
      <c r="DC36" s="58" t="n">
        <f aca="false">IF(RoundStep&gt;0,ROUND(DC26/HrsWk/RoundStep,0)*RoundStep,DC26/HrsWk)</f>
        <v>0</v>
      </c>
      <c r="DD36" s="58" t="n">
        <f aca="false">IF(RoundStep&gt;0,ROUND(DD26/HrsWk/RoundStep,0)*RoundStep,DD26/HrsWk)</f>
        <v>0</v>
      </c>
      <c r="DE36" s="58" t="n">
        <f aca="false">IF(RoundStep&gt;0,ROUND(DE26/HrsWk/RoundStep,0)*RoundStep,DE26/HrsWk)</f>
        <v>0</v>
      </c>
    </row>
    <row r="37" customFormat="false" ht="15" hidden="false" customHeight="false" outlineLevel="0" collapsed="false">
      <c r="A37" s="9" t="str">
        <f aca="false">Roles!B10</f>
        <v>Lead</v>
      </c>
      <c r="B37" s="2"/>
      <c r="C37" s="2"/>
      <c r="D37" s="2"/>
      <c r="E37" s="2"/>
      <c r="F37" s="58" t="n">
        <f aca="false">IF(RoundStep&gt;0,ROUND(F27/HrsWk/RoundStep,0)*RoundStep,F27/HrsWk)</f>
        <v>0.5</v>
      </c>
      <c r="G37" s="58" t="n">
        <f aca="false">IF(RoundStep&gt;0,ROUND(G27/HrsWk/RoundStep,0)*RoundStep,G27/HrsWk)</f>
        <v>0.5</v>
      </c>
      <c r="H37" s="58" t="n">
        <f aca="false">IF(RoundStep&gt;0,ROUND(H27/HrsWk/RoundStep,0)*RoundStep,H27/HrsWk)</f>
        <v>0.5</v>
      </c>
      <c r="I37" s="58" t="n">
        <f aca="false">IF(RoundStep&gt;0,ROUND(I27/HrsWk/RoundStep,0)*RoundStep,I27/HrsWk)</f>
        <v>0.5</v>
      </c>
      <c r="J37" s="58" t="n">
        <f aca="false">IF(RoundStep&gt;0,ROUND(J27/HrsWk/RoundStep,0)*RoundStep,J27/HrsWk)</f>
        <v>0.5</v>
      </c>
      <c r="K37" s="58" t="n">
        <f aca="false">IF(RoundStep&gt;0,ROUND(K27/HrsWk/RoundStep,0)*RoundStep,K27/HrsWk)</f>
        <v>0.5</v>
      </c>
      <c r="L37" s="58" t="n">
        <f aca="false">IF(RoundStep&gt;0,ROUND(L27/HrsWk/RoundStep,0)*RoundStep,L27/HrsWk)</f>
        <v>0.5</v>
      </c>
      <c r="M37" s="58" t="n">
        <f aca="false">IF(RoundStep&gt;0,ROUND(M27/HrsWk/RoundStep,0)*RoundStep,M27/HrsWk)</f>
        <v>0.5</v>
      </c>
      <c r="N37" s="58" t="n">
        <f aca="false">IF(RoundStep&gt;0,ROUND(N27/HrsWk/RoundStep,0)*RoundStep,N27/HrsWk)</f>
        <v>1</v>
      </c>
      <c r="O37" s="58" t="n">
        <f aca="false">IF(RoundStep&gt;0,ROUND(O27/HrsWk/RoundStep,0)*RoundStep,O27/HrsWk)</f>
        <v>1.5</v>
      </c>
      <c r="P37" s="58" t="n">
        <f aca="false">IF(RoundStep&gt;0,ROUND(P27/HrsWk/RoundStep,0)*RoundStep,P27/HrsWk)</f>
        <v>1.5</v>
      </c>
      <c r="Q37" s="58" t="n">
        <f aca="false">IF(RoundStep&gt;0,ROUND(Q27/HrsWk/RoundStep,0)*RoundStep,Q27/HrsWk)</f>
        <v>2</v>
      </c>
      <c r="R37" s="58" t="n">
        <f aca="false">IF(RoundStep&gt;0,ROUND(R27/HrsWk/RoundStep,0)*RoundStep,R27/HrsWk)</f>
        <v>2</v>
      </c>
      <c r="S37" s="58" t="n">
        <f aca="false">IF(RoundStep&gt;0,ROUND(S27/HrsWk/RoundStep,0)*RoundStep,S27/HrsWk)</f>
        <v>2</v>
      </c>
      <c r="T37" s="58" t="n">
        <f aca="false">IF(RoundStep&gt;0,ROUND(T27/HrsWk/RoundStep,0)*RoundStep,T27/HrsWk)</f>
        <v>2</v>
      </c>
      <c r="U37" s="58" t="n">
        <f aca="false">IF(RoundStep&gt;0,ROUND(U27/HrsWk/RoundStep,0)*RoundStep,U27/HrsWk)</f>
        <v>2</v>
      </c>
      <c r="V37" s="58" t="n">
        <f aca="false">IF(RoundStep&gt;0,ROUND(V27/HrsWk/RoundStep,0)*RoundStep,V27/HrsWk)</f>
        <v>2</v>
      </c>
      <c r="W37" s="58" t="n">
        <f aca="false">IF(RoundStep&gt;0,ROUND(W27/HrsWk/RoundStep,0)*RoundStep,W27/HrsWk)</f>
        <v>2</v>
      </c>
      <c r="X37" s="58" t="n">
        <f aca="false">IF(RoundStep&gt;0,ROUND(X27/HrsWk/RoundStep,0)*RoundStep,X27/HrsWk)</f>
        <v>1.5</v>
      </c>
      <c r="Y37" s="58" t="n">
        <f aca="false">IF(RoundStep&gt;0,ROUND(Y27/HrsWk/RoundStep,0)*RoundStep,Y27/HrsWk)</f>
        <v>1.5</v>
      </c>
      <c r="Z37" s="58" t="n">
        <f aca="false">IF(RoundStep&gt;0,ROUND(Z27/HrsWk/RoundStep,0)*RoundStep,Z27/HrsWk)</f>
        <v>1.5</v>
      </c>
      <c r="AA37" s="58" t="n">
        <f aca="false">IF(RoundStep&gt;0,ROUND(AA27/HrsWk/RoundStep,0)*RoundStep,AA27/HrsWk)</f>
        <v>1.5</v>
      </c>
      <c r="AB37" s="58" t="n">
        <f aca="false">IF(RoundStep&gt;0,ROUND(AB27/HrsWk/RoundStep,0)*RoundStep,AB27/HrsWk)</f>
        <v>1.5</v>
      </c>
      <c r="AC37" s="58" t="n">
        <f aca="false">IF(RoundStep&gt;0,ROUND(AC27/HrsWk/RoundStep,0)*RoundStep,AC27/HrsWk)</f>
        <v>1.5</v>
      </c>
      <c r="AD37" s="58" t="n">
        <f aca="false">IF(RoundStep&gt;0,ROUND(AD27/HrsWk/RoundStep,0)*RoundStep,AD27/HrsWk)</f>
        <v>1.5</v>
      </c>
      <c r="AE37" s="58" t="n">
        <f aca="false">IF(RoundStep&gt;0,ROUND(AE27/HrsWk/RoundStep,0)*RoundStep,AE27/HrsWk)</f>
        <v>1</v>
      </c>
      <c r="AF37" s="58" t="n">
        <f aca="false">IF(RoundStep&gt;0,ROUND(AF27/HrsWk/RoundStep,0)*RoundStep,AF27/HrsWk)</f>
        <v>1</v>
      </c>
      <c r="AG37" s="58" t="n">
        <f aca="false">IF(RoundStep&gt;0,ROUND(AG27/HrsWk/RoundStep,0)*RoundStep,AG27/HrsWk)</f>
        <v>1</v>
      </c>
      <c r="AH37" s="58" t="n">
        <f aca="false">IF(RoundStep&gt;0,ROUND(AH27/HrsWk/RoundStep,0)*RoundStep,AH27/HrsWk)</f>
        <v>1</v>
      </c>
      <c r="AI37" s="58" t="n">
        <f aca="false">IF(RoundStep&gt;0,ROUND(AI27/HrsWk/RoundStep,0)*RoundStep,AI27/HrsWk)</f>
        <v>1</v>
      </c>
      <c r="AJ37" s="58" t="n">
        <f aca="false">IF(RoundStep&gt;0,ROUND(AJ27/HrsWk/RoundStep,0)*RoundStep,AJ27/HrsWk)</f>
        <v>1</v>
      </c>
      <c r="AK37" s="58" t="n">
        <f aca="false">IF(RoundStep&gt;0,ROUND(AK27/HrsWk/RoundStep,0)*RoundStep,AK27/HrsWk)</f>
        <v>0.5</v>
      </c>
      <c r="AL37" s="58" t="n">
        <f aca="false">IF(RoundStep&gt;0,ROUND(AL27/HrsWk/RoundStep,0)*RoundStep,AL27/HrsWk)</f>
        <v>0.5</v>
      </c>
      <c r="AM37" s="58" t="n">
        <f aca="false">IF(RoundStep&gt;0,ROUND(AM27/HrsWk/RoundStep,0)*RoundStep,AM27/HrsWk)</f>
        <v>0.5</v>
      </c>
      <c r="AN37" s="58" t="n">
        <f aca="false">IF(RoundStep&gt;0,ROUND(AN27/HrsWk/RoundStep,0)*RoundStep,AN27/HrsWk)</f>
        <v>0</v>
      </c>
      <c r="AO37" s="58" t="n">
        <f aca="false">IF(RoundStep&gt;0,ROUND(AO27/HrsWk/RoundStep,0)*RoundStep,AO27/HrsWk)</f>
        <v>0</v>
      </c>
      <c r="AP37" s="58" t="n">
        <f aca="false">IF(RoundStep&gt;0,ROUND(AP27/HrsWk/RoundStep,0)*RoundStep,AP27/HrsWk)</f>
        <v>0</v>
      </c>
      <c r="AQ37" s="58" t="n">
        <f aca="false">IF(RoundStep&gt;0,ROUND(AQ27/HrsWk/RoundStep,0)*RoundStep,AQ27/HrsWk)</f>
        <v>0</v>
      </c>
      <c r="AR37" s="58" t="n">
        <f aca="false">IF(RoundStep&gt;0,ROUND(AR27/HrsWk/RoundStep,0)*RoundStep,AR27/HrsWk)</f>
        <v>0</v>
      </c>
      <c r="AS37" s="58" t="n">
        <f aca="false">IF(RoundStep&gt;0,ROUND(AS27/HrsWk/RoundStep,0)*RoundStep,AS27/HrsWk)</f>
        <v>0</v>
      </c>
      <c r="AT37" s="58" t="n">
        <f aca="false">IF(RoundStep&gt;0,ROUND(AT27/HrsWk/RoundStep,0)*RoundStep,AT27/HrsWk)</f>
        <v>0</v>
      </c>
      <c r="AU37" s="58" t="n">
        <f aca="false">IF(RoundStep&gt;0,ROUND(AU27/HrsWk/RoundStep,0)*RoundStep,AU27/HrsWk)</f>
        <v>0</v>
      </c>
      <c r="AV37" s="58" t="n">
        <f aca="false">IF(RoundStep&gt;0,ROUND(AV27/HrsWk/RoundStep,0)*RoundStep,AV27/HrsWk)</f>
        <v>0</v>
      </c>
      <c r="AW37" s="58" t="n">
        <f aca="false">IF(RoundStep&gt;0,ROUND(AW27/HrsWk/RoundStep,0)*RoundStep,AW27/HrsWk)</f>
        <v>0</v>
      </c>
      <c r="AX37" s="58" t="n">
        <f aca="false">IF(RoundStep&gt;0,ROUND(AX27/HrsWk/RoundStep,0)*RoundStep,AX27/HrsWk)</f>
        <v>0</v>
      </c>
      <c r="AY37" s="58" t="n">
        <f aca="false">IF(RoundStep&gt;0,ROUND(AY27/HrsWk/RoundStep,0)*RoundStep,AY27/HrsWk)</f>
        <v>0</v>
      </c>
      <c r="AZ37" s="58" t="n">
        <f aca="false">IF(RoundStep&gt;0,ROUND(AZ27/HrsWk/RoundStep,0)*RoundStep,AZ27/HrsWk)</f>
        <v>0</v>
      </c>
      <c r="BA37" s="58" t="n">
        <f aca="false">IF(RoundStep&gt;0,ROUND(BA27/HrsWk/RoundStep,0)*RoundStep,BA27/HrsWk)</f>
        <v>0</v>
      </c>
      <c r="BB37" s="58" t="n">
        <f aca="false">IF(RoundStep&gt;0,ROUND(BB27/HrsWk/RoundStep,0)*RoundStep,BB27/HrsWk)</f>
        <v>0</v>
      </c>
      <c r="BC37" s="58" t="n">
        <f aca="false">IF(RoundStep&gt;0,ROUND(BC27/HrsWk/RoundStep,0)*RoundStep,BC27/HrsWk)</f>
        <v>0</v>
      </c>
      <c r="BD37" s="58" t="n">
        <f aca="false">IF(RoundStep&gt;0,ROUND(BD27/HrsWk/RoundStep,0)*RoundStep,BD27/HrsWk)</f>
        <v>0</v>
      </c>
      <c r="BE37" s="58" t="n">
        <f aca="false">IF(RoundStep&gt;0,ROUND(BE27/HrsWk/RoundStep,0)*RoundStep,BE27/HrsWk)</f>
        <v>0</v>
      </c>
      <c r="BF37" s="58" t="n">
        <f aca="false">IF(RoundStep&gt;0,ROUND(BF27/HrsWk/RoundStep,0)*RoundStep,BF27/HrsWk)</f>
        <v>0</v>
      </c>
      <c r="BG37" s="58" t="n">
        <f aca="false">IF(RoundStep&gt;0,ROUND(BG27/HrsWk/RoundStep,0)*RoundStep,BG27/HrsWk)</f>
        <v>0</v>
      </c>
      <c r="BH37" s="58" t="n">
        <f aca="false">IF(RoundStep&gt;0,ROUND(BH27/HrsWk/RoundStep,0)*RoundStep,BH27/HrsWk)</f>
        <v>0</v>
      </c>
      <c r="BI37" s="58" t="n">
        <f aca="false">IF(RoundStep&gt;0,ROUND(BI27/HrsWk/RoundStep,0)*RoundStep,BI27/HrsWk)</f>
        <v>0</v>
      </c>
      <c r="BJ37" s="58" t="n">
        <f aca="false">IF(RoundStep&gt;0,ROUND(BJ27/HrsWk/RoundStep,0)*RoundStep,BJ27/HrsWk)</f>
        <v>0</v>
      </c>
      <c r="BK37" s="58" t="n">
        <f aca="false">IF(RoundStep&gt;0,ROUND(BK27/HrsWk/RoundStep,0)*RoundStep,BK27/HrsWk)</f>
        <v>0</v>
      </c>
      <c r="BL37" s="58" t="n">
        <f aca="false">IF(RoundStep&gt;0,ROUND(BL27/HrsWk/RoundStep,0)*RoundStep,BL27/HrsWk)</f>
        <v>0</v>
      </c>
      <c r="BM37" s="58" t="n">
        <f aca="false">IF(RoundStep&gt;0,ROUND(BM27/HrsWk/RoundStep,0)*RoundStep,BM27/HrsWk)</f>
        <v>0</v>
      </c>
      <c r="BN37" s="58" t="n">
        <f aca="false">IF(RoundStep&gt;0,ROUND(BN27/HrsWk/RoundStep,0)*RoundStep,BN27/HrsWk)</f>
        <v>0</v>
      </c>
      <c r="BO37" s="58" t="n">
        <f aca="false">IF(RoundStep&gt;0,ROUND(BO27/HrsWk/RoundStep,0)*RoundStep,BO27/HrsWk)</f>
        <v>0</v>
      </c>
      <c r="BP37" s="58" t="n">
        <f aca="false">IF(RoundStep&gt;0,ROUND(BP27/HrsWk/RoundStep,0)*RoundStep,BP27/HrsWk)</f>
        <v>0</v>
      </c>
      <c r="BQ37" s="58" t="n">
        <f aca="false">IF(RoundStep&gt;0,ROUND(BQ27/HrsWk/RoundStep,0)*RoundStep,BQ27/HrsWk)</f>
        <v>0</v>
      </c>
      <c r="BR37" s="58" t="n">
        <f aca="false">IF(RoundStep&gt;0,ROUND(BR27/HrsWk/RoundStep,0)*RoundStep,BR27/HrsWk)</f>
        <v>0</v>
      </c>
      <c r="BS37" s="58" t="n">
        <f aca="false">IF(RoundStep&gt;0,ROUND(BS27/HrsWk/RoundStep,0)*RoundStep,BS27/HrsWk)</f>
        <v>0</v>
      </c>
      <c r="BT37" s="58" t="n">
        <f aca="false">IF(RoundStep&gt;0,ROUND(BT27/HrsWk/RoundStep,0)*RoundStep,BT27/HrsWk)</f>
        <v>0</v>
      </c>
      <c r="BU37" s="58" t="n">
        <f aca="false">IF(RoundStep&gt;0,ROUND(BU27/HrsWk/RoundStep,0)*RoundStep,BU27/HrsWk)</f>
        <v>0</v>
      </c>
      <c r="BV37" s="58" t="n">
        <f aca="false">IF(RoundStep&gt;0,ROUND(BV27/HrsWk/RoundStep,0)*RoundStep,BV27/HrsWk)</f>
        <v>0</v>
      </c>
      <c r="BW37" s="58" t="n">
        <f aca="false">IF(RoundStep&gt;0,ROUND(BW27/HrsWk/RoundStep,0)*RoundStep,BW27/HrsWk)</f>
        <v>0</v>
      </c>
      <c r="BX37" s="58" t="n">
        <f aca="false">IF(RoundStep&gt;0,ROUND(BX27/HrsWk/RoundStep,0)*RoundStep,BX27/HrsWk)</f>
        <v>0</v>
      </c>
      <c r="BY37" s="58" t="n">
        <f aca="false">IF(RoundStep&gt;0,ROUND(BY27/HrsWk/RoundStep,0)*RoundStep,BY27/HrsWk)</f>
        <v>0</v>
      </c>
      <c r="BZ37" s="58" t="n">
        <f aca="false">IF(RoundStep&gt;0,ROUND(BZ27/HrsWk/RoundStep,0)*RoundStep,BZ27/HrsWk)</f>
        <v>0</v>
      </c>
      <c r="CA37" s="58" t="n">
        <f aca="false">IF(RoundStep&gt;0,ROUND(CA27/HrsWk/RoundStep,0)*RoundStep,CA27/HrsWk)</f>
        <v>0</v>
      </c>
      <c r="CB37" s="58" t="n">
        <f aca="false">IF(RoundStep&gt;0,ROUND(CB27/HrsWk/RoundStep,0)*RoundStep,CB27/HrsWk)</f>
        <v>0</v>
      </c>
      <c r="CC37" s="58" t="n">
        <f aca="false">IF(RoundStep&gt;0,ROUND(CC27/HrsWk/RoundStep,0)*RoundStep,CC27/HrsWk)</f>
        <v>0</v>
      </c>
      <c r="CD37" s="58" t="n">
        <f aca="false">IF(RoundStep&gt;0,ROUND(CD27/HrsWk/RoundStep,0)*RoundStep,CD27/HrsWk)</f>
        <v>0</v>
      </c>
      <c r="CE37" s="58" t="n">
        <f aca="false">IF(RoundStep&gt;0,ROUND(CE27/HrsWk/RoundStep,0)*RoundStep,CE27/HrsWk)</f>
        <v>0</v>
      </c>
      <c r="CF37" s="58" t="n">
        <f aca="false">IF(RoundStep&gt;0,ROUND(CF27/HrsWk/RoundStep,0)*RoundStep,CF27/HrsWk)</f>
        <v>0</v>
      </c>
      <c r="CG37" s="58" t="n">
        <f aca="false">IF(RoundStep&gt;0,ROUND(CG27/HrsWk/RoundStep,0)*RoundStep,CG27/HrsWk)</f>
        <v>0</v>
      </c>
      <c r="CH37" s="58" t="n">
        <f aca="false">IF(RoundStep&gt;0,ROUND(CH27/HrsWk/RoundStep,0)*RoundStep,CH27/HrsWk)</f>
        <v>0</v>
      </c>
      <c r="CI37" s="58" t="n">
        <f aca="false">IF(RoundStep&gt;0,ROUND(CI27/HrsWk/RoundStep,0)*RoundStep,CI27/HrsWk)</f>
        <v>0</v>
      </c>
      <c r="CJ37" s="58" t="n">
        <f aca="false">IF(RoundStep&gt;0,ROUND(CJ27/HrsWk/RoundStep,0)*RoundStep,CJ27/HrsWk)</f>
        <v>0</v>
      </c>
      <c r="CK37" s="58" t="n">
        <f aca="false">IF(RoundStep&gt;0,ROUND(CK27/HrsWk/RoundStep,0)*RoundStep,CK27/HrsWk)</f>
        <v>0</v>
      </c>
      <c r="CL37" s="58" t="n">
        <f aca="false">IF(RoundStep&gt;0,ROUND(CL27/HrsWk/RoundStep,0)*RoundStep,CL27/HrsWk)</f>
        <v>0</v>
      </c>
      <c r="CM37" s="58" t="n">
        <f aca="false">IF(RoundStep&gt;0,ROUND(CM27/HrsWk/RoundStep,0)*RoundStep,CM27/HrsWk)</f>
        <v>0</v>
      </c>
      <c r="CN37" s="58" t="n">
        <f aca="false">IF(RoundStep&gt;0,ROUND(CN27/HrsWk/RoundStep,0)*RoundStep,CN27/HrsWk)</f>
        <v>0</v>
      </c>
      <c r="CO37" s="58" t="n">
        <f aca="false">IF(RoundStep&gt;0,ROUND(CO27/HrsWk/RoundStep,0)*RoundStep,CO27/HrsWk)</f>
        <v>0</v>
      </c>
      <c r="CP37" s="58" t="n">
        <f aca="false">IF(RoundStep&gt;0,ROUND(CP27/HrsWk/RoundStep,0)*RoundStep,CP27/HrsWk)</f>
        <v>0</v>
      </c>
      <c r="CQ37" s="58" t="n">
        <f aca="false">IF(RoundStep&gt;0,ROUND(CQ27/HrsWk/RoundStep,0)*RoundStep,CQ27/HrsWk)</f>
        <v>0</v>
      </c>
      <c r="CR37" s="58" t="n">
        <f aca="false">IF(RoundStep&gt;0,ROUND(CR27/HrsWk/RoundStep,0)*RoundStep,CR27/HrsWk)</f>
        <v>0</v>
      </c>
      <c r="CS37" s="58" t="n">
        <f aca="false">IF(RoundStep&gt;0,ROUND(CS27/HrsWk/RoundStep,0)*RoundStep,CS27/HrsWk)</f>
        <v>0</v>
      </c>
      <c r="CT37" s="58" t="n">
        <f aca="false">IF(RoundStep&gt;0,ROUND(CT27/HrsWk/RoundStep,0)*RoundStep,CT27/HrsWk)</f>
        <v>0</v>
      </c>
      <c r="CU37" s="58" t="n">
        <f aca="false">IF(RoundStep&gt;0,ROUND(CU27/HrsWk/RoundStep,0)*RoundStep,CU27/HrsWk)</f>
        <v>0</v>
      </c>
      <c r="CV37" s="58" t="n">
        <f aca="false">IF(RoundStep&gt;0,ROUND(CV27/HrsWk/RoundStep,0)*RoundStep,CV27/HrsWk)</f>
        <v>0</v>
      </c>
      <c r="CW37" s="58" t="n">
        <f aca="false">IF(RoundStep&gt;0,ROUND(CW27/HrsWk/RoundStep,0)*RoundStep,CW27/HrsWk)</f>
        <v>0</v>
      </c>
      <c r="CX37" s="58" t="n">
        <f aca="false">IF(RoundStep&gt;0,ROUND(CX27/HrsWk/RoundStep,0)*RoundStep,CX27/HrsWk)</f>
        <v>0</v>
      </c>
      <c r="CY37" s="58" t="n">
        <f aca="false">IF(RoundStep&gt;0,ROUND(CY27/HrsWk/RoundStep,0)*RoundStep,CY27/HrsWk)</f>
        <v>0</v>
      </c>
      <c r="CZ37" s="58" t="n">
        <f aca="false">IF(RoundStep&gt;0,ROUND(CZ27/HrsWk/RoundStep,0)*RoundStep,CZ27/HrsWk)</f>
        <v>0</v>
      </c>
      <c r="DA37" s="58" t="n">
        <f aca="false">IF(RoundStep&gt;0,ROUND(DA27/HrsWk/RoundStep,0)*RoundStep,DA27/HrsWk)</f>
        <v>0</v>
      </c>
      <c r="DB37" s="58" t="n">
        <f aca="false">IF(RoundStep&gt;0,ROUND(DB27/HrsWk/RoundStep,0)*RoundStep,DB27/HrsWk)</f>
        <v>0</v>
      </c>
      <c r="DC37" s="58" t="n">
        <f aca="false">IF(RoundStep&gt;0,ROUND(DC27/HrsWk/RoundStep,0)*RoundStep,DC27/HrsWk)</f>
        <v>0</v>
      </c>
      <c r="DD37" s="58" t="n">
        <f aca="false">IF(RoundStep&gt;0,ROUND(DD27/HrsWk/RoundStep,0)*RoundStep,DD27/HrsWk)</f>
        <v>0</v>
      </c>
      <c r="DE37" s="58" t="n">
        <f aca="false">IF(RoundStep&gt;0,ROUND(DE27/HrsWk/RoundStep,0)*RoundStep,DE27/HrsWk)</f>
        <v>0</v>
      </c>
    </row>
    <row r="38" customFormat="false" ht="15" hidden="false" customHeight="false" outlineLevel="0" collapsed="false">
      <c r="A38" s="9" t="str">
        <f aca="false">Roles!B11</f>
        <v>Sr. engineer</v>
      </c>
      <c r="B38" s="2"/>
      <c r="C38" s="2"/>
      <c r="D38" s="2"/>
      <c r="E38" s="2"/>
      <c r="F38" s="58" t="n">
        <f aca="false">IF(RoundStep&gt;0,ROUND(F28/HrsWk/RoundStep,0)*RoundStep,F28/HrsWk)</f>
        <v>0</v>
      </c>
      <c r="G38" s="58" t="n">
        <f aca="false">IF(RoundStep&gt;0,ROUND(G28/HrsWk/RoundStep,0)*RoundStep,G28/HrsWk)</f>
        <v>0</v>
      </c>
      <c r="H38" s="58" t="n">
        <f aca="false">IF(RoundStep&gt;0,ROUND(H28/HrsWk/RoundStep,0)*RoundStep,H28/HrsWk)</f>
        <v>0</v>
      </c>
      <c r="I38" s="58" t="n">
        <f aca="false">IF(RoundStep&gt;0,ROUND(I28/HrsWk/RoundStep,0)*RoundStep,I28/HrsWk)</f>
        <v>0</v>
      </c>
      <c r="J38" s="58" t="n">
        <f aca="false">IF(RoundStep&gt;0,ROUND(J28/HrsWk/RoundStep,0)*RoundStep,J28/HrsWk)</f>
        <v>0</v>
      </c>
      <c r="K38" s="58" t="n">
        <f aca="false">IF(RoundStep&gt;0,ROUND(K28/HrsWk/RoundStep,0)*RoundStep,K28/HrsWk)</f>
        <v>0</v>
      </c>
      <c r="L38" s="58" t="n">
        <f aca="false">IF(RoundStep&gt;0,ROUND(L28/HrsWk/RoundStep,0)*RoundStep,L28/HrsWk)</f>
        <v>2.5</v>
      </c>
      <c r="M38" s="58" t="n">
        <f aca="false">IF(RoundStep&gt;0,ROUND(M28/HrsWk/RoundStep,0)*RoundStep,M28/HrsWk)</f>
        <v>2.5</v>
      </c>
      <c r="N38" s="58" t="n">
        <f aca="false">IF(RoundStep&gt;0,ROUND(N28/HrsWk/RoundStep,0)*RoundStep,N28/HrsWk)</f>
        <v>3.5</v>
      </c>
      <c r="O38" s="58" t="n">
        <f aca="false">IF(RoundStep&gt;0,ROUND(O28/HrsWk/RoundStep,0)*RoundStep,O28/HrsWk)</f>
        <v>4</v>
      </c>
      <c r="P38" s="58" t="n">
        <f aca="false">IF(RoundStep&gt;0,ROUND(P28/HrsWk/RoundStep,0)*RoundStep,P28/HrsWk)</f>
        <v>5</v>
      </c>
      <c r="Q38" s="58" t="n">
        <f aca="false">IF(RoundStep&gt;0,ROUND(Q28/HrsWk/RoundStep,0)*RoundStep,Q28/HrsWk)</f>
        <v>5.5</v>
      </c>
      <c r="R38" s="58" t="n">
        <f aca="false">IF(RoundStep&gt;0,ROUND(R28/HrsWk/RoundStep,0)*RoundStep,R28/HrsWk)</f>
        <v>6</v>
      </c>
      <c r="S38" s="58" t="n">
        <f aca="false">IF(RoundStep&gt;0,ROUND(S28/HrsWk/RoundStep,0)*RoundStep,S28/HrsWk)</f>
        <v>6</v>
      </c>
      <c r="T38" s="58" t="n">
        <f aca="false">IF(RoundStep&gt;0,ROUND(T28/HrsWk/RoundStep,0)*RoundStep,T28/HrsWk)</f>
        <v>6</v>
      </c>
      <c r="U38" s="58" t="n">
        <f aca="false">IF(RoundStep&gt;0,ROUND(U28/HrsWk/RoundStep,0)*RoundStep,U28/HrsWk)</f>
        <v>6</v>
      </c>
      <c r="V38" s="58" t="n">
        <f aca="false">IF(RoundStep&gt;0,ROUND(V28/HrsWk/RoundStep,0)*RoundStep,V28/HrsWk)</f>
        <v>6</v>
      </c>
      <c r="W38" s="58" t="n">
        <f aca="false">IF(RoundStep&gt;0,ROUND(W28/HrsWk/RoundStep,0)*RoundStep,W28/HrsWk)</f>
        <v>6</v>
      </c>
      <c r="X38" s="58" t="n">
        <f aca="false">IF(RoundStep&gt;0,ROUND(X28/HrsWk/RoundStep,0)*RoundStep,X28/HrsWk)</f>
        <v>3.5</v>
      </c>
      <c r="Y38" s="58" t="n">
        <f aca="false">IF(RoundStep&gt;0,ROUND(Y28/HrsWk/RoundStep,0)*RoundStep,Y28/HrsWk)</f>
        <v>3.5</v>
      </c>
      <c r="Z38" s="58" t="n">
        <f aca="false">IF(RoundStep&gt;0,ROUND(Z28/HrsWk/RoundStep,0)*RoundStep,Z28/HrsWk)</f>
        <v>3.5</v>
      </c>
      <c r="AA38" s="58" t="n">
        <f aca="false">IF(RoundStep&gt;0,ROUND(AA28/HrsWk/RoundStep,0)*RoundStep,AA28/HrsWk)</f>
        <v>3.5</v>
      </c>
      <c r="AB38" s="58" t="n">
        <f aca="false">IF(RoundStep&gt;0,ROUND(AB28/HrsWk/RoundStep,0)*RoundStep,AB28/HrsWk)</f>
        <v>3.5</v>
      </c>
      <c r="AC38" s="58" t="n">
        <f aca="false">IF(RoundStep&gt;0,ROUND(AC28/HrsWk/RoundStep,0)*RoundStep,AC28/HrsWk)</f>
        <v>3.5</v>
      </c>
      <c r="AD38" s="58" t="n">
        <f aca="false">IF(RoundStep&gt;0,ROUND(AD28/HrsWk/RoundStep,0)*RoundStep,AD28/HrsWk)</f>
        <v>3.5</v>
      </c>
      <c r="AE38" s="58" t="n">
        <f aca="false">IF(RoundStep&gt;0,ROUND(AE28/HrsWk/RoundStep,0)*RoundStep,AE28/HrsWk)</f>
        <v>3</v>
      </c>
      <c r="AF38" s="58" t="n">
        <f aca="false">IF(RoundStep&gt;0,ROUND(AF28/HrsWk/RoundStep,0)*RoundStep,AF28/HrsWk)</f>
        <v>2.5</v>
      </c>
      <c r="AG38" s="58" t="n">
        <f aca="false">IF(RoundStep&gt;0,ROUND(AG28/HrsWk/RoundStep,0)*RoundStep,AG28/HrsWk)</f>
        <v>2</v>
      </c>
      <c r="AH38" s="58" t="n">
        <f aca="false">IF(RoundStep&gt;0,ROUND(AH28/HrsWk/RoundStep,0)*RoundStep,AH28/HrsWk)</f>
        <v>1</v>
      </c>
      <c r="AI38" s="58" t="n">
        <f aca="false">IF(RoundStep&gt;0,ROUND(AI28/HrsWk/RoundStep,0)*RoundStep,AI28/HrsWk)</f>
        <v>1</v>
      </c>
      <c r="AJ38" s="58" t="n">
        <f aca="false">IF(RoundStep&gt;0,ROUND(AJ28/HrsWk/RoundStep,0)*RoundStep,AJ28/HrsWk)</f>
        <v>1</v>
      </c>
      <c r="AK38" s="58" t="n">
        <f aca="false">IF(RoundStep&gt;0,ROUND(AK28/HrsWk/RoundStep,0)*RoundStep,AK28/HrsWk)</f>
        <v>1</v>
      </c>
      <c r="AL38" s="58" t="n">
        <f aca="false">IF(RoundStep&gt;0,ROUND(AL28/HrsWk/RoundStep,0)*RoundStep,AL28/HrsWk)</f>
        <v>1</v>
      </c>
      <c r="AM38" s="58" t="n">
        <f aca="false">IF(RoundStep&gt;0,ROUND(AM28/HrsWk/RoundStep,0)*RoundStep,AM28/HrsWk)</f>
        <v>1</v>
      </c>
      <c r="AN38" s="58" t="n">
        <f aca="false">IF(RoundStep&gt;0,ROUND(AN28/HrsWk/RoundStep,0)*RoundStep,AN28/HrsWk)</f>
        <v>0.5</v>
      </c>
      <c r="AO38" s="58" t="n">
        <f aca="false">IF(RoundStep&gt;0,ROUND(AO28/HrsWk/RoundStep,0)*RoundStep,AO28/HrsWk)</f>
        <v>0.5</v>
      </c>
      <c r="AP38" s="58" t="n">
        <f aca="false">IF(RoundStep&gt;0,ROUND(AP28/HrsWk/RoundStep,0)*RoundStep,AP28/HrsWk)</f>
        <v>0</v>
      </c>
      <c r="AQ38" s="58" t="n">
        <f aca="false">IF(RoundStep&gt;0,ROUND(AQ28/HrsWk/RoundStep,0)*RoundStep,AQ28/HrsWk)</f>
        <v>0</v>
      </c>
      <c r="AR38" s="58" t="n">
        <f aca="false">IF(RoundStep&gt;0,ROUND(AR28/HrsWk/RoundStep,0)*RoundStep,AR28/HrsWk)</f>
        <v>0</v>
      </c>
      <c r="AS38" s="58" t="n">
        <f aca="false">IF(RoundStep&gt;0,ROUND(AS28/HrsWk/RoundStep,0)*RoundStep,AS28/HrsWk)</f>
        <v>0</v>
      </c>
      <c r="AT38" s="58" t="n">
        <f aca="false">IF(RoundStep&gt;0,ROUND(AT28/HrsWk/RoundStep,0)*RoundStep,AT28/HrsWk)</f>
        <v>0</v>
      </c>
      <c r="AU38" s="58" t="n">
        <f aca="false">IF(RoundStep&gt;0,ROUND(AU28/HrsWk/RoundStep,0)*RoundStep,AU28/HrsWk)</f>
        <v>0</v>
      </c>
      <c r="AV38" s="58" t="n">
        <f aca="false">IF(RoundStep&gt;0,ROUND(AV28/HrsWk/RoundStep,0)*RoundStep,AV28/HrsWk)</f>
        <v>0</v>
      </c>
      <c r="AW38" s="58" t="n">
        <f aca="false">IF(RoundStep&gt;0,ROUND(AW28/HrsWk/RoundStep,0)*RoundStep,AW28/HrsWk)</f>
        <v>0</v>
      </c>
      <c r="AX38" s="58" t="n">
        <f aca="false">IF(RoundStep&gt;0,ROUND(AX28/HrsWk/RoundStep,0)*RoundStep,AX28/HrsWk)</f>
        <v>0</v>
      </c>
      <c r="AY38" s="58" t="n">
        <f aca="false">IF(RoundStep&gt;0,ROUND(AY28/HrsWk/RoundStep,0)*RoundStep,AY28/HrsWk)</f>
        <v>0</v>
      </c>
      <c r="AZ38" s="58" t="n">
        <f aca="false">IF(RoundStep&gt;0,ROUND(AZ28/HrsWk/RoundStep,0)*RoundStep,AZ28/HrsWk)</f>
        <v>0</v>
      </c>
      <c r="BA38" s="58" t="n">
        <f aca="false">IF(RoundStep&gt;0,ROUND(BA28/HrsWk/RoundStep,0)*RoundStep,BA28/HrsWk)</f>
        <v>0</v>
      </c>
      <c r="BB38" s="58" t="n">
        <f aca="false">IF(RoundStep&gt;0,ROUND(BB28/HrsWk/RoundStep,0)*RoundStep,BB28/HrsWk)</f>
        <v>0</v>
      </c>
      <c r="BC38" s="58" t="n">
        <f aca="false">IF(RoundStep&gt;0,ROUND(BC28/HrsWk/RoundStep,0)*RoundStep,BC28/HrsWk)</f>
        <v>0</v>
      </c>
      <c r="BD38" s="58" t="n">
        <f aca="false">IF(RoundStep&gt;0,ROUND(BD28/HrsWk/RoundStep,0)*RoundStep,BD28/HrsWk)</f>
        <v>0</v>
      </c>
      <c r="BE38" s="58" t="n">
        <f aca="false">IF(RoundStep&gt;0,ROUND(BE28/HrsWk/RoundStep,0)*RoundStep,BE28/HrsWk)</f>
        <v>0</v>
      </c>
      <c r="BF38" s="58" t="n">
        <f aca="false">IF(RoundStep&gt;0,ROUND(BF28/HrsWk/RoundStep,0)*RoundStep,BF28/HrsWk)</f>
        <v>0</v>
      </c>
      <c r="BG38" s="58" t="n">
        <f aca="false">IF(RoundStep&gt;0,ROUND(BG28/HrsWk/RoundStep,0)*RoundStep,BG28/HrsWk)</f>
        <v>0</v>
      </c>
      <c r="BH38" s="58" t="n">
        <f aca="false">IF(RoundStep&gt;0,ROUND(BH28/HrsWk/RoundStep,0)*RoundStep,BH28/HrsWk)</f>
        <v>0</v>
      </c>
      <c r="BI38" s="58" t="n">
        <f aca="false">IF(RoundStep&gt;0,ROUND(BI28/HrsWk/RoundStep,0)*RoundStep,BI28/HrsWk)</f>
        <v>0</v>
      </c>
      <c r="BJ38" s="58" t="n">
        <f aca="false">IF(RoundStep&gt;0,ROUND(BJ28/HrsWk/RoundStep,0)*RoundStep,BJ28/HrsWk)</f>
        <v>0</v>
      </c>
      <c r="BK38" s="58" t="n">
        <f aca="false">IF(RoundStep&gt;0,ROUND(BK28/HrsWk/RoundStep,0)*RoundStep,BK28/HrsWk)</f>
        <v>0</v>
      </c>
      <c r="BL38" s="58" t="n">
        <f aca="false">IF(RoundStep&gt;0,ROUND(BL28/HrsWk/RoundStep,0)*RoundStep,BL28/HrsWk)</f>
        <v>0</v>
      </c>
      <c r="BM38" s="58" t="n">
        <f aca="false">IF(RoundStep&gt;0,ROUND(BM28/HrsWk/RoundStep,0)*RoundStep,BM28/HrsWk)</f>
        <v>0</v>
      </c>
      <c r="BN38" s="58" t="n">
        <f aca="false">IF(RoundStep&gt;0,ROUND(BN28/HrsWk/RoundStep,0)*RoundStep,BN28/HrsWk)</f>
        <v>0</v>
      </c>
      <c r="BO38" s="58" t="n">
        <f aca="false">IF(RoundStep&gt;0,ROUND(BO28/HrsWk/RoundStep,0)*RoundStep,BO28/HrsWk)</f>
        <v>0</v>
      </c>
      <c r="BP38" s="58" t="n">
        <f aca="false">IF(RoundStep&gt;0,ROUND(BP28/HrsWk/RoundStep,0)*RoundStep,BP28/HrsWk)</f>
        <v>0</v>
      </c>
      <c r="BQ38" s="58" t="n">
        <f aca="false">IF(RoundStep&gt;0,ROUND(BQ28/HrsWk/RoundStep,0)*RoundStep,BQ28/HrsWk)</f>
        <v>0</v>
      </c>
      <c r="BR38" s="58" t="n">
        <f aca="false">IF(RoundStep&gt;0,ROUND(BR28/HrsWk/RoundStep,0)*RoundStep,BR28/HrsWk)</f>
        <v>0</v>
      </c>
      <c r="BS38" s="58" t="n">
        <f aca="false">IF(RoundStep&gt;0,ROUND(BS28/HrsWk/RoundStep,0)*RoundStep,BS28/HrsWk)</f>
        <v>0</v>
      </c>
      <c r="BT38" s="58" t="n">
        <f aca="false">IF(RoundStep&gt;0,ROUND(BT28/HrsWk/RoundStep,0)*RoundStep,BT28/HrsWk)</f>
        <v>0</v>
      </c>
      <c r="BU38" s="58" t="n">
        <f aca="false">IF(RoundStep&gt;0,ROUND(BU28/HrsWk/RoundStep,0)*RoundStep,BU28/HrsWk)</f>
        <v>0</v>
      </c>
      <c r="BV38" s="58" t="n">
        <f aca="false">IF(RoundStep&gt;0,ROUND(BV28/HrsWk/RoundStep,0)*RoundStep,BV28/HrsWk)</f>
        <v>0</v>
      </c>
      <c r="BW38" s="58" t="n">
        <f aca="false">IF(RoundStep&gt;0,ROUND(BW28/HrsWk/RoundStep,0)*RoundStep,BW28/HrsWk)</f>
        <v>0</v>
      </c>
      <c r="BX38" s="58" t="n">
        <f aca="false">IF(RoundStep&gt;0,ROUND(BX28/HrsWk/RoundStep,0)*RoundStep,BX28/HrsWk)</f>
        <v>0</v>
      </c>
      <c r="BY38" s="58" t="n">
        <f aca="false">IF(RoundStep&gt;0,ROUND(BY28/HrsWk/RoundStep,0)*RoundStep,BY28/HrsWk)</f>
        <v>0</v>
      </c>
      <c r="BZ38" s="58" t="n">
        <f aca="false">IF(RoundStep&gt;0,ROUND(BZ28/HrsWk/RoundStep,0)*RoundStep,BZ28/HrsWk)</f>
        <v>0</v>
      </c>
      <c r="CA38" s="58" t="n">
        <f aca="false">IF(RoundStep&gt;0,ROUND(CA28/HrsWk/RoundStep,0)*RoundStep,CA28/HrsWk)</f>
        <v>0</v>
      </c>
      <c r="CB38" s="58" t="n">
        <f aca="false">IF(RoundStep&gt;0,ROUND(CB28/HrsWk/RoundStep,0)*RoundStep,CB28/HrsWk)</f>
        <v>0</v>
      </c>
      <c r="CC38" s="58" t="n">
        <f aca="false">IF(RoundStep&gt;0,ROUND(CC28/HrsWk/RoundStep,0)*RoundStep,CC28/HrsWk)</f>
        <v>0</v>
      </c>
      <c r="CD38" s="58" t="n">
        <f aca="false">IF(RoundStep&gt;0,ROUND(CD28/HrsWk/RoundStep,0)*RoundStep,CD28/HrsWk)</f>
        <v>0</v>
      </c>
      <c r="CE38" s="58" t="n">
        <f aca="false">IF(RoundStep&gt;0,ROUND(CE28/HrsWk/RoundStep,0)*RoundStep,CE28/HrsWk)</f>
        <v>0</v>
      </c>
      <c r="CF38" s="58" t="n">
        <f aca="false">IF(RoundStep&gt;0,ROUND(CF28/HrsWk/RoundStep,0)*RoundStep,CF28/HrsWk)</f>
        <v>0</v>
      </c>
      <c r="CG38" s="58" t="n">
        <f aca="false">IF(RoundStep&gt;0,ROUND(CG28/HrsWk/RoundStep,0)*RoundStep,CG28/HrsWk)</f>
        <v>0</v>
      </c>
      <c r="CH38" s="58" t="n">
        <f aca="false">IF(RoundStep&gt;0,ROUND(CH28/HrsWk/RoundStep,0)*RoundStep,CH28/HrsWk)</f>
        <v>0</v>
      </c>
      <c r="CI38" s="58" t="n">
        <f aca="false">IF(RoundStep&gt;0,ROUND(CI28/HrsWk/RoundStep,0)*RoundStep,CI28/HrsWk)</f>
        <v>0</v>
      </c>
      <c r="CJ38" s="58" t="n">
        <f aca="false">IF(RoundStep&gt;0,ROUND(CJ28/HrsWk/RoundStep,0)*RoundStep,CJ28/HrsWk)</f>
        <v>0</v>
      </c>
      <c r="CK38" s="58" t="n">
        <f aca="false">IF(RoundStep&gt;0,ROUND(CK28/HrsWk/RoundStep,0)*RoundStep,CK28/HrsWk)</f>
        <v>0</v>
      </c>
      <c r="CL38" s="58" t="n">
        <f aca="false">IF(RoundStep&gt;0,ROUND(CL28/HrsWk/RoundStep,0)*RoundStep,CL28/HrsWk)</f>
        <v>0</v>
      </c>
      <c r="CM38" s="58" t="n">
        <f aca="false">IF(RoundStep&gt;0,ROUND(CM28/HrsWk/RoundStep,0)*RoundStep,CM28/HrsWk)</f>
        <v>0</v>
      </c>
      <c r="CN38" s="58" t="n">
        <f aca="false">IF(RoundStep&gt;0,ROUND(CN28/HrsWk/RoundStep,0)*RoundStep,CN28/HrsWk)</f>
        <v>0</v>
      </c>
      <c r="CO38" s="58" t="n">
        <f aca="false">IF(RoundStep&gt;0,ROUND(CO28/HrsWk/RoundStep,0)*RoundStep,CO28/HrsWk)</f>
        <v>0</v>
      </c>
      <c r="CP38" s="58" t="n">
        <f aca="false">IF(RoundStep&gt;0,ROUND(CP28/HrsWk/RoundStep,0)*RoundStep,CP28/HrsWk)</f>
        <v>0</v>
      </c>
      <c r="CQ38" s="58" t="n">
        <f aca="false">IF(RoundStep&gt;0,ROUND(CQ28/HrsWk/RoundStep,0)*RoundStep,CQ28/HrsWk)</f>
        <v>0</v>
      </c>
      <c r="CR38" s="58" t="n">
        <f aca="false">IF(RoundStep&gt;0,ROUND(CR28/HrsWk/RoundStep,0)*RoundStep,CR28/HrsWk)</f>
        <v>0</v>
      </c>
      <c r="CS38" s="58" t="n">
        <f aca="false">IF(RoundStep&gt;0,ROUND(CS28/HrsWk/RoundStep,0)*RoundStep,CS28/HrsWk)</f>
        <v>0</v>
      </c>
      <c r="CT38" s="58" t="n">
        <f aca="false">IF(RoundStep&gt;0,ROUND(CT28/HrsWk/RoundStep,0)*RoundStep,CT28/HrsWk)</f>
        <v>0</v>
      </c>
      <c r="CU38" s="58" t="n">
        <f aca="false">IF(RoundStep&gt;0,ROUND(CU28/HrsWk/RoundStep,0)*RoundStep,CU28/HrsWk)</f>
        <v>0</v>
      </c>
      <c r="CV38" s="58" t="n">
        <f aca="false">IF(RoundStep&gt;0,ROUND(CV28/HrsWk/RoundStep,0)*RoundStep,CV28/HrsWk)</f>
        <v>0</v>
      </c>
      <c r="CW38" s="58" t="n">
        <f aca="false">IF(RoundStep&gt;0,ROUND(CW28/HrsWk/RoundStep,0)*RoundStep,CW28/HrsWk)</f>
        <v>0</v>
      </c>
      <c r="CX38" s="58" t="n">
        <f aca="false">IF(RoundStep&gt;0,ROUND(CX28/HrsWk/RoundStep,0)*RoundStep,CX28/HrsWk)</f>
        <v>0</v>
      </c>
      <c r="CY38" s="58" t="n">
        <f aca="false">IF(RoundStep&gt;0,ROUND(CY28/HrsWk/RoundStep,0)*RoundStep,CY28/HrsWk)</f>
        <v>0</v>
      </c>
      <c r="CZ38" s="58" t="n">
        <f aca="false">IF(RoundStep&gt;0,ROUND(CZ28/HrsWk/RoundStep,0)*RoundStep,CZ28/HrsWk)</f>
        <v>0</v>
      </c>
      <c r="DA38" s="58" t="n">
        <f aca="false">IF(RoundStep&gt;0,ROUND(DA28/HrsWk/RoundStep,0)*RoundStep,DA28/HrsWk)</f>
        <v>0</v>
      </c>
      <c r="DB38" s="58" t="n">
        <f aca="false">IF(RoundStep&gt;0,ROUND(DB28/HrsWk/RoundStep,0)*RoundStep,DB28/HrsWk)</f>
        <v>0</v>
      </c>
      <c r="DC38" s="58" t="n">
        <f aca="false">IF(RoundStep&gt;0,ROUND(DC28/HrsWk/RoundStep,0)*RoundStep,DC28/HrsWk)</f>
        <v>0</v>
      </c>
      <c r="DD38" s="58" t="n">
        <f aca="false">IF(RoundStep&gt;0,ROUND(DD28/HrsWk/RoundStep,0)*RoundStep,DD28/HrsWk)</f>
        <v>0</v>
      </c>
      <c r="DE38" s="58" t="n">
        <f aca="false">IF(RoundStep&gt;0,ROUND(DE28/HrsWk/RoundStep,0)*RoundStep,DE28/HrsWk)</f>
        <v>0</v>
      </c>
    </row>
    <row r="39" customFormat="false" ht="15" hidden="false" customHeight="false" outlineLevel="0" collapsed="false">
      <c r="A39" s="9" t="str">
        <f aca="false">Roles!B12</f>
        <v>Engineer</v>
      </c>
      <c r="B39" s="2"/>
      <c r="C39" s="2"/>
      <c r="D39" s="2"/>
      <c r="E39" s="2"/>
      <c r="F39" s="58" t="n">
        <f aca="false">IF(RoundStep&gt;0,ROUND(F29/HrsWk/RoundStep,0)*RoundStep,F29/HrsWk)</f>
        <v>0</v>
      </c>
      <c r="G39" s="58" t="n">
        <f aca="false">IF(RoundStep&gt;0,ROUND(G29/HrsWk/RoundStep,0)*RoundStep,G29/HrsWk)</f>
        <v>0</v>
      </c>
      <c r="H39" s="58" t="n">
        <f aca="false">IF(RoundStep&gt;0,ROUND(H29/HrsWk/RoundStep,0)*RoundStep,H29/HrsWk)</f>
        <v>0</v>
      </c>
      <c r="I39" s="58" t="n">
        <f aca="false">IF(RoundStep&gt;0,ROUND(I29/HrsWk/RoundStep,0)*RoundStep,I29/HrsWk)</f>
        <v>0</v>
      </c>
      <c r="J39" s="58" t="n">
        <f aca="false">IF(RoundStep&gt;0,ROUND(J29/HrsWk/RoundStep,0)*RoundStep,J29/HrsWk)</f>
        <v>0</v>
      </c>
      <c r="K39" s="58" t="n">
        <f aca="false">IF(RoundStep&gt;0,ROUND(K29/HrsWk/RoundStep,0)*RoundStep,K29/HrsWk)</f>
        <v>0</v>
      </c>
      <c r="L39" s="58" t="n">
        <f aca="false">IF(RoundStep&gt;0,ROUND(L29/HrsWk/RoundStep,0)*RoundStep,L29/HrsWk)</f>
        <v>1</v>
      </c>
      <c r="M39" s="58" t="n">
        <f aca="false">IF(RoundStep&gt;0,ROUND(M29/HrsWk/RoundStep,0)*RoundStep,M29/HrsWk)</f>
        <v>1</v>
      </c>
      <c r="N39" s="58" t="n">
        <f aca="false">IF(RoundStep&gt;0,ROUND(N29/HrsWk/RoundStep,0)*RoundStep,N29/HrsWk)</f>
        <v>2.5</v>
      </c>
      <c r="O39" s="58" t="n">
        <f aca="false">IF(RoundStep&gt;0,ROUND(O29/HrsWk/RoundStep,0)*RoundStep,O29/HrsWk)</f>
        <v>3.5</v>
      </c>
      <c r="P39" s="58" t="n">
        <f aca="false">IF(RoundStep&gt;0,ROUND(P29/HrsWk/RoundStep,0)*RoundStep,P29/HrsWk)</f>
        <v>5.5</v>
      </c>
      <c r="Q39" s="58" t="n">
        <f aca="false">IF(RoundStep&gt;0,ROUND(Q29/HrsWk/RoundStep,0)*RoundStep,Q29/HrsWk)</f>
        <v>7</v>
      </c>
      <c r="R39" s="58" t="n">
        <f aca="false">IF(RoundStep&gt;0,ROUND(R29/HrsWk/RoundStep,0)*RoundStep,R29/HrsWk)</f>
        <v>7</v>
      </c>
      <c r="S39" s="58" t="n">
        <f aca="false">IF(RoundStep&gt;0,ROUND(S29/HrsWk/RoundStep,0)*RoundStep,S29/HrsWk)</f>
        <v>7</v>
      </c>
      <c r="T39" s="58" t="n">
        <f aca="false">IF(RoundStep&gt;0,ROUND(T29/HrsWk/RoundStep,0)*RoundStep,T29/HrsWk)</f>
        <v>7</v>
      </c>
      <c r="U39" s="58" t="n">
        <f aca="false">IF(RoundStep&gt;0,ROUND(U29/HrsWk/RoundStep,0)*RoundStep,U29/HrsWk)</f>
        <v>7</v>
      </c>
      <c r="V39" s="58" t="n">
        <f aca="false">IF(RoundStep&gt;0,ROUND(V29/HrsWk/RoundStep,0)*RoundStep,V29/HrsWk)</f>
        <v>7</v>
      </c>
      <c r="W39" s="58" t="n">
        <f aca="false">IF(RoundStep&gt;0,ROUND(W29/HrsWk/RoundStep,0)*RoundStep,W29/HrsWk)</f>
        <v>7</v>
      </c>
      <c r="X39" s="58" t="n">
        <f aca="false">IF(RoundStep&gt;0,ROUND(X29/HrsWk/RoundStep,0)*RoundStep,X29/HrsWk)</f>
        <v>6</v>
      </c>
      <c r="Y39" s="58" t="n">
        <f aca="false">IF(RoundStep&gt;0,ROUND(Y29/HrsWk/RoundStep,0)*RoundStep,Y29/HrsWk)</f>
        <v>6</v>
      </c>
      <c r="Z39" s="58" t="n">
        <f aca="false">IF(RoundStep&gt;0,ROUND(Z29/HrsWk/RoundStep,0)*RoundStep,Z29/HrsWk)</f>
        <v>6</v>
      </c>
      <c r="AA39" s="58" t="n">
        <f aca="false">IF(RoundStep&gt;0,ROUND(AA29/HrsWk/RoundStep,0)*RoundStep,AA29/HrsWk)</f>
        <v>6</v>
      </c>
      <c r="AB39" s="58" t="n">
        <f aca="false">IF(RoundStep&gt;0,ROUND(AB29/HrsWk/RoundStep,0)*RoundStep,AB29/HrsWk)</f>
        <v>6</v>
      </c>
      <c r="AC39" s="58" t="n">
        <f aca="false">IF(RoundStep&gt;0,ROUND(AC29/HrsWk/RoundStep,0)*RoundStep,AC29/HrsWk)</f>
        <v>6</v>
      </c>
      <c r="AD39" s="58" t="n">
        <f aca="false">IF(RoundStep&gt;0,ROUND(AD29/HrsWk/RoundStep,0)*RoundStep,AD29/HrsWk)</f>
        <v>6</v>
      </c>
      <c r="AE39" s="58" t="n">
        <f aca="false">IF(RoundStep&gt;0,ROUND(AE29/HrsWk/RoundStep,0)*RoundStep,AE29/HrsWk)</f>
        <v>4.5</v>
      </c>
      <c r="AF39" s="58" t="n">
        <f aca="false">IF(RoundStep&gt;0,ROUND(AF29/HrsWk/RoundStep,0)*RoundStep,AF29/HrsWk)</f>
        <v>3.5</v>
      </c>
      <c r="AG39" s="58" t="n">
        <f aca="false">IF(RoundStep&gt;0,ROUND(AG29/HrsWk/RoundStep,0)*RoundStep,AG29/HrsWk)</f>
        <v>2</v>
      </c>
      <c r="AH39" s="58" t="n">
        <f aca="false">IF(RoundStep&gt;0,ROUND(AH29/HrsWk/RoundStep,0)*RoundStep,AH29/HrsWk)</f>
        <v>1</v>
      </c>
      <c r="AI39" s="58" t="n">
        <f aca="false">IF(RoundStep&gt;0,ROUND(AI29/HrsWk/RoundStep,0)*RoundStep,AI29/HrsWk)</f>
        <v>1</v>
      </c>
      <c r="AJ39" s="58" t="n">
        <f aca="false">IF(RoundStep&gt;0,ROUND(AJ29/HrsWk/RoundStep,0)*RoundStep,AJ29/HrsWk)</f>
        <v>1</v>
      </c>
      <c r="AK39" s="58" t="n">
        <f aca="false">IF(RoundStep&gt;0,ROUND(AK29/HrsWk/RoundStep,0)*RoundStep,AK29/HrsWk)</f>
        <v>0.5</v>
      </c>
      <c r="AL39" s="58" t="n">
        <f aca="false">IF(RoundStep&gt;0,ROUND(AL29/HrsWk/RoundStep,0)*RoundStep,AL29/HrsWk)</f>
        <v>0.5</v>
      </c>
      <c r="AM39" s="58" t="n">
        <f aca="false">IF(RoundStep&gt;0,ROUND(AM29/HrsWk/RoundStep,0)*RoundStep,AM29/HrsWk)</f>
        <v>0.5</v>
      </c>
      <c r="AN39" s="58" t="n">
        <f aca="false">IF(RoundStep&gt;0,ROUND(AN29/HrsWk/RoundStep,0)*RoundStep,AN29/HrsWk)</f>
        <v>0</v>
      </c>
      <c r="AO39" s="58" t="n">
        <f aca="false">IF(RoundStep&gt;0,ROUND(AO29/HrsWk/RoundStep,0)*RoundStep,AO29/HrsWk)</f>
        <v>0</v>
      </c>
      <c r="AP39" s="58" t="n">
        <f aca="false">IF(RoundStep&gt;0,ROUND(AP29/HrsWk/RoundStep,0)*RoundStep,AP29/HrsWk)</f>
        <v>0</v>
      </c>
      <c r="AQ39" s="58" t="n">
        <f aca="false">IF(RoundStep&gt;0,ROUND(AQ29/HrsWk/RoundStep,0)*RoundStep,AQ29/HrsWk)</f>
        <v>0</v>
      </c>
      <c r="AR39" s="58" t="n">
        <f aca="false">IF(RoundStep&gt;0,ROUND(AR29/HrsWk/RoundStep,0)*RoundStep,AR29/HrsWk)</f>
        <v>0</v>
      </c>
      <c r="AS39" s="58" t="n">
        <f aca="false">IF(RoundStep&gt;0,ROUND(AS29/HrsWk/RoundStep,0)*RoundStep,AS29/HrsWk)</f>
        <v>0</v>
      </c>
      <c r="AT39" s="58" t="n">
        <f aca="false">IF(RoundStep&gt;0,ROUND(AT29/HrsWk/RoundStep,0)*RoundStep,AT29/HrsWk)</f>
        <v>0</v>
      </c>
      <c r="AU39" s="58" t="n">
        <f aca="false">IF(RoundStep&gt;0,ROUND(AU29/HrsWk/RoundStep,0)*RoundStep,AU29/HrsWk)</f>
        <v>0</v>
      </c>
      <c r="AV39" s="58" t="n">
        <f aca="false">IF(RoundStep&gt;0,ROUND(AV29/HrsWk/RoundStep,0)*RoundStep,AV29/HrsWk)</f>
        <v>0</v>
      </c>
      <c r="AW39" s="58" t="n">
        <f aca="false">IF(RoundStep&gt;0,ROUND(AW29/HrsWk/RoundStep,0)*RoundStep,AW29/HrsWk)</f>
        <v>0</v>
      </c>
      <c r="AX39" s="58" t="n">
        <f aca="false">IF(RoundStep&gt;0,ROUND(AX29/HrsWk/RoundStep,0)*RoundStep,AX29/HrsWk)</f>
        <v>0</v>
      </c>
      <c r="AY39" s="58" t="n">
        <f aca="false">IF(RoundStep&gt;0,ROUND(AY29/HrsWk/RoundStep,0)*RoundStep,AY29/HrsWk)</f>
        <v>0</v>
      </c>
      <c r="AZ39" s="58" t="n">
        <f aca="false">IF(RoundStep&gt;0,ROUND(AZ29/HrsWk/RoundStep,0)*RoundStep,AZ29/HrsWk)</f>
        <v>0</v>
      </c>
      <c r="BA39" s="58" t="n">
        <f aca="false">IF(RoundStep&gt;0,ROUND(BA29/HrsWk/RoundStep,0)*RoundStep,BA29/HrsWk)</f>
        <v>0</v>
      </c>
      <c r="BB39" s="58" t="n">
        <f aca="false">IF(RoundStep&gt;0,ROUND(BB29/HrsWk/RoundStep,0)*RoundStep,BB29/HrsWk)</f>
        <v>0</v>
      </c>
      <c r="BC39" s="58" t="n">
        <f aca="false">IF(RoundStep&gt;0,ROUND(BC29/HrsWk/RoundStep,0)*RoundStep,BC29/HrsWk)</f>
        <v>0</v>
      </c>
      <c r="BD39" s="58" t="n">
        <f aca="false">IF(RoundStep&gt;0,ROUND(BD29/HrsWk/RoundStep,0)*RoundStep,BD29/HrsWk)</f>
        <v>0</v>
      </c>
      <c r="BE39" s="58" t="n">
        <f aca="false">IF(RoundStep&gt;0,ROUND(BE29/HrsWk/RoundStep,0)*RoundStep,BE29/HrsWk)</f>
        <v>0</v>
      </c>
      <c r="BF39" s="58" t="n">
        <f aca="false">IF(RoundStep&gt;0,ROUND(BF29/HrsWk/RoundStep,0)*RoundStep,BF29/HrsWk)</f>
        <v>0</v>
      </c>
      <c r="BG39" s="58" t="n">
        <f aca="false">IF(RoundStep&gt;0,ROUND(BG29/HrsWk/RoundStep,0)*RoundStep,BG29/HrsWk)</f>
        <v>0</v>
      </c>
      <c r="BH39" s="58" t="n">
        <f aca="false">IF(RoundStep&gt;0,ROUND(BH29/HrsWk/RoundStep,0)*RoundStep,BH29/HrsWk)</f>
        <v>0</v>
      </c>
      <c r="BI39" s="58" t="n">
        <f aca="false">IF(RoundStep&gt;0,ROUND(BI29/HrsWk/RoundStep,0)*RoundStep,BI29/HrsWk)</f>
        <v>0</v>
      </c>
      <c r="BJ39" s="58" t="n">
        <f aca="false">IF(RoundStep&gt;0,ROUND(BJ29/HrsWk/RoundStep,0)*RoundStep,BJ29/HrsWk)</f>
        <v>0</v>
      </c>
      <c r="BK39" s="58" t="n">
        <f aca="false">IF(RoundStep&gt;0,ROUND(BK29/HrsWk/RoundStep,0)*RoundStep,BK29/HrsWk)</f>
        <v>0</v>
      </c>
      <c r="BL39" s="58" t="n">
        <f aca="false">IF(RoundStep&gt;0,ROUND(BL29/HrsWk/RoundStep,0)*RoundStep,BL29/HrsWk)</f>
        <v>0</v>
      </c>
      <c r="BM39" s="58" t="n">
        <f aca="false">IF(RoundStep&gt;0,ROUND(BM29/HrsWk/RoundStep,0)*RoundStep,BM29/HrsWk)</f>
        <v>0</v>
      </c>
      <c r="BN39" s="58" t="n">
        <f aca="false">IF(RoundStep&gt;0,ROUND(BN29/HrsWk/RoundStep,0)*RoundStep,BN29/HrsWk)</f>
        <v>0</v>
      </c>
      <c r="BO39" s="58" t="n">
        <f aca="false">IF(RoundStep&gt;0,ROUND(BO29/HrsWk/RoundStep,0)*RoundStep,BO29/HrsWk)</f>
        <v>0</v>
      </c>
      <c r="BP39" s="58" t="n">
        <f aca="false">IF(RoundStep&gt;0,ROUND(BP29/HrsWk/RoundStep,0)*RoundStep,BP29/HrsWk)</f>
        <v>0</v>
      </c>
      <c r="BQ39" s="58" t="n">
        <f aca="false">IF(RoundStep&gt;0,ROUND(BQ29/HrsWk/RoundStep,0)*RoundStep,BQ29/HrsWk)</f>
        <v>0</v>
      </c>
      <c r="BR39" s="58" t="n">
        <f aca="false">IF(RoundStep&gt;0,ROUND(BR29/HrsWk/RoundStep,0)*RoundStep,BR29/HrsWk)</f>
        <v>0</v>
      </c>
      <c r="BS39" s="58" t="n">
        <f aca="false">IF(RoundStep&gt;0,ROUND(BS29/HrsWk/RoundStep,0)*RoundStep,BS29/HrsWk)</f>
        <v>0</v>
      </c>
      <c r="BT39" s="58" t="n">
        <f aca="false">IF(RoundStep&gt;0,ROUND(BT29/HrsWk/RoundStep,0)*RoundStep,BT29/HrsWk)</f>
        <v>0</v>
      </c>
      <c r="BU39" s="58" t="n">
        <f aca="false">IF(RoundStep&gt;0,ROUND(BU29/HrsWk/RoundStep,0)*RoundStep,BU29/HrsWk)</f>
        <v>0</v>
      </c>
      <c r="BV39" s="58" t="n">
        <f aca="false">IF(RoundStep&gt;0,ROUND(BV29/HrsWk/RoundStep,0)*RoundStep,BV29/HrsWk)</f>
        <v>0</v>
      </c>
      <c r="BW39" s="58" t="n">
        <f aca="false">IF(RoundStep&gt;0,ROUND(BW29/HrsWk/RoundStep,0)*RoundStep,BW29/HrsWk)</f>
        <v>0</v>
      </c>
      <c r="BX39" s="58" t="n">
        <f aca="false">IF(RoundStep&gt;0,ROUND(BX29/HrsWk/RoundStep,0)*RoundStep,BX29/HrsWk)</f>
        <v>0</v>
      </c>
      <c r="BY39" s="58" t="n">
        <f aca="false">IF(RoundStep&gt;0,ROUND(BY29/HrsWk/RoundStep,0)*RoundStep,BY29/HrsWk)</f>
        <v>0</v>
      </c>
      <c r="BZ39" s="58" t="n">
        <f aca="false">IF(RoundStep&gt;0,ROUND(BZ29/HrsWk/RoundStep,0)*RoundStep,BZ29/HrsWk)</f>
        <v>0</v>
      </c>
      <c r="CA39" s="58" t="n">
        <f aca="false">IF(RoundStep&gt;0,ROUND(CA29/HrsWk/RoundStep,0)*RoundStep,CA29/HrsWk)</f>
        <v>0</v>
      </c>
      <c r="CB39" s="58" t="n">
        <f aca="false">IF(RoundStep&gt;0,ROUND(CB29/HrsWk/RoundStep,0)*RoundStep,CB29/HrsWk)</f>
        <v>0</v>
      </c>
      <c r="CC39" s="58" t="n">
        <f aca="false">IF(RoundStep&gt;0,ROUND(CC29/HrsWk/RoundStep,0)*RoundStep,CC29/HrsWk)</f>
        <v>0</v>
      </c>
      <c r="CD39" s="58" t="n">
        <f aca="false">IF(RoundStep&gt;0,ROUND(CD29/HrsWk/RoundStep,0)*RoundStep,CD29/HrsWk)</f>
        <v>0</v>
      </c>
      <c r="CE39" s="58" t="n">
        <f aca="false">IF(RoundStep&gt;0,ROUND(CE29/HrsWk/RoundStep,0)*RoundStep,CE29/HrsWk)</f>
        <v>0</v>
      </c>
      <c r="CF39" s="58" t="n">
        <f aca="false">IF(RoundStep&gt;0,ROUND(CF29/HrsWk/RoundStep,0)*RoundStep,CF29/HrsWk)</f>
        <v>0</v>
      </c>
      <c r="CG39" s="58" t="n">
        <f aca="false">IF(RoundStep&gt;0,ROUND(CG29/HrsWk/RoundStep,0)*RoundStep,CG29/HrsWk)</f>
        <v>0</v>
      </c>
      <c r="CH39" s="58" t="n">
        <f aca="false">IF(RoundStep&gt;0,ROUND(CH29/HrsWk/RoundStep,0)*RoundStep,CH29/HrsWk)</f>
        <v>0</v>
      </c>
      <c r="CI39" s="58" t="n">
        <f aca="false">IF(RoundStep&gt;0,ROUND(CI29/HrsWk/RoundStep,0)*RoundStep,CI29/HrsWk)</f>
        <v>0</v>
      </c>
      <c r="CJ39" s="58" t="n">
        <f aca="false">IF(RoundStep&gt;0,ROUND(CJ29/HrsWk/RoundStep,0)*RoundStep,CJ29/HrsWk)</f>
        <v>0</v>
      </c>
      <c r="CK39" s="58" t="n">
        <f aca="false">IF(RoundStep&gt;0,ROUND(CK29/HrsWk/RoundStep,0)*RoundStep,CK29/HrsWk)</f>
        <v>0</v>
      </c>
      <c r="CL39" s="58" t="n">
        <f aca="false">IF(RoundStep&gt;0,ROUND(CL29/HrsWk/RoundStep,0)*RoundStep,CL29/HrsWk)</f>
        <v>0</v>
      </c>
      <c r="CM39" s="58" t="n">
        <f aca="false">IF(RoundStep&gt;0,ROUND(CM29/HrsWk/RoundStep,0)*RoundStep,CM29/HrsWk)</f>
        <v>0</v>
      </c>
      <c r="CN39" s="58" t="n">
        <f aca="false">IF(RoundStep&gt;0,ROUND(CN29/HrsWk/RoundStep,0)*RoundStep,CN29/HrsWk)</f>
        <v>0</v>
      </c>
      <c r="CO39" s="58" t="n">
        <f aca="false">IF(RoundStep&gt;0,ROUND(CO29/HrsWk/RoundStep,0)*RoundStep,CO29/HrsWk)</f>
        <v>0</v>
      </c>
      <c r="CP39" s="58" t="n">
        <f aca="false">IF(RoundStep&gt;0,ROUND(CP29/HrsWk/RoundStep,0)*RoundStep,CP29/HrsWk)</f>
        <v>0</v>
      </c>
      <c r="CQ39" s="58" t="n">
        <f aca="false">IF(RoundStep&gt;0,ROUND(CQ29/HrsWk/RoundStep,0)*RoundStep,CQ29/HrsWk)</f>
        <v>0</v>
      </c>
      <c r="CR39" s="58" t="n">
        <f aca="false">IF(RoundStep&gt;0,ROUND(CR29/HrsWk/RoundStep,0)*RoundStep,CR29/HrsWk)</f>
        <v>0</v>
      </c>
      <c r="CS39" s="58" t="n">
        <f aca="false">IF(RoundStep&gt;0,ROUND(CS29/HrsWk/RoundStep,0)*RoundStep,CS29/HrsWk)</f>
        <v>0</v>
      </c>
      <c r="CT39" s="58" t="n">
        <f aca="false">IF(RoundStep&gt;0,ROUND(CT29/HrsWk/RoundStep,0)*RoundStep,CT29/HrsWk)</f>
        <v>0</v>
      </c>
      <c r="CU39" s="58" t="n">
        <f aca="false">IF(RoundStep&gt;0,ROUND(CU29/HrsWk/RoundStep,0)*RoundStep,CU29/HrsWk)</f>
        <v>0</v>
      </c>
      <c r="CV39" s="58" t="n">
        <f aca="false">IF(RoundStep&gt;0,ROUND(CV29/HrsWk/RoundStep,0)*RoundStep,CV29/HrsWk)</f>
        <v>0</v>
      </c>
      <c r="CW39" s="58" t="n">
        <f aca="false">IF(RoundStep&gt;0,ROUND(CW29/HrsWk/RoundStep,0)*RoundStep,CW29/HrsWk)</f>
        <v>0</v>
      </c>
      <c r="CX39" s="58" t="n">
        <f aca="false">IF(RoundStep&gt;0,ROUND(CX29/HrsWk/RoundStep,0)*RoundStep,CX29/HrsWk)</f>
        <v>0</v>
      </c>
      <c r="CY39" s="58" t="n">
        <f aca="false">IF(RoundStep&gt;0,ROUND(CY29/HrsWk/RoundStep,0)*RoundStep,CY29/HrsWk)</f>
        <v>0</v>
      </c>
      <c r="CZ39" s="58" t="n">
        <f aca="false">IF(RoundStep&gt;0,ROUND(CZ29/HrsWk/RoundStep,0)*RoundStep,CZ29/HrsWk)</f>
        <v>0</v>
      </c>
      <c r="DA39" s="58" t="n">
        <f aca="false">IF(RoundStep&gt;0,ROUND(DA29/HrsWk/RoundStep,0)*RoundStep,DA29/HrsWk)</f>
        <v>0</v>
      </c>
      <c r="DB39" s="58" t="n">
        <f aca="false">IF(RoundStep&gt;0,ROUND(DB29/HrsWk/RoundStep,0)*RoundStep,DB29/HrsWk)</f>
        <v>0</v>
      </c>
      <c r="DC39" s="58" t="n">
        <f aca="false">IF(RoundStep&gt;0,ROUND(DC29/HrsWk/RoundStep,0)*RoundStep,DC29/HrsWk)</f>
        <v>0</v>
      </c>
      <c r="DD39" s="58" t="n">
        <f aca="false">IF(RoundStep&gt;0,ROUND(DD29/HrsWk/RoundStep,0)*RoundStep,DD29/HrsWk)</f>
        <v>0</v>
      </c>
      <c r="DE39" s="58" t="n">
        <f aca="false">IF(RoundStep&gt;0,ROUND(DE29/HrsWk/RoundStep,0)*RoundStep,DE29/HrsWk)</f>
        <v>0</v>
      </c>
    </row>
    <row r="40" customFormat="false" ht="15" hidden="false" customHeight="false" outlineLevel="0" collapsed="false">
      <c r="A40" s="9" t="str">
        <f aca="false">Roles!B13</f>
        <v>QA engineer</v>
      </c>
      <c r="B40" s="2"/>
      <c r="C40" s="2"/>
      <c r="D40" s="2"/>
      <c r="E40" s="2"/>
      <c r="F40" s="58" t="n">
        <f aca="false">IF(RoundStep&gt;0,ROUND(F30/HrsWk/RoundStep,0)*RoundStep,F30/HrsWk)</f>
        <v>0</v>
      </c>
      <c r="G40" s="58" t="n">
        <f aca="false">IF(RoundStep&gt;0,ROUND(G30/HrsWk/RoundStep,0)*RoundStep,G30/HrsWk)</f>
        <v>0</v>
      </c>
      <c r="H40" s="58" t="n">
        <f aca="false">IF(RoundStep&gt;0,ROUND(H30/HrsWk/RoundStep,0)*RoundStep,H30/HrsWk)</f>
        <v>0</v>
      </c>
      <c r="I40" s="58" t="n">
        <f aca="false">IF(RoundStep&gt;0,ROUND(I30/HrsWk/RoundStep,0)*RoundStep,I30/HrsWk)</f>
        <v>0</v>
      </c>
      <c r="J40" s="58" t="n">
        <f aca="false">IF(RoundStep&gt;0,ROUND(J30/HrsWk/RoundStep,0)*RoundStep,J30/HrsWk)</f>
        <v>0</v>
      </c>
      <c r="K40" s="58" t="n">
        <f aca="false">IF(RoundStep&gt;0,ROUND(K30/HrsWk/RoundStep,0)*RoundStep,K30/HrsWk)</f>
        <v>0</v>
      </c>
      <c r="L40" s="58" t="n">
        <f aca="false">IF(RoundStep&gt;0,ROUND(L30/HrsWk/RoundStep,0)*RoundStep,L30/HrsWk)</f>
        <v>0</v>
      </c>
      <c r="M40" s="58" t="n">
        <f aca="false">IF(RoundStep&gt;0,ROUND(M30/HrsWk/RoundStep,0)*RoundStep,M30/HrsWk)</f>
        <v>0</v>
      </c>
      <c r="N40" s="58" t="n">
        <f aca="false">IF(RoundStep&gt;0,ROUND(N30/HrsWk/RoundStep,0)*RoundStep,N30/HrsWk)</f>
        <v>0</v>
      </c>
      <c r="O40" s="58" t="n">
        <f aca="false">IF(RoundStep&gt;0,ROUND(O30/HrsWk/RoundStep,0)*RoundStep,O30/HrsWk)</f>
        <v>0</v>
      </c>
      <c r="P40" s="58" t="n">
        <f aca="false">IF(RoundStep&gt;0,ROUND(P30/HrsWk/RoundStep,0)*RoundStep,P30/HrsWk)</f>
        <v>1.5</v>
      </c>
      <c r="Q40" s="58" t="n">
        <f aca="false">IF(RoundStep&gt;0,ROUND(Q30/HrsWk/RoundStep,0)*RoundStep,Q30/HrsWk)</f>
        <v>1.5</v>
      </c>
      <c r="R40" s="58" t="n">
        <f aca="false">IF(RoundStep&gt;0,ROUND(R30/HrsWk/RoundStep,0)*RoundStep,R30/HrsWk)</f>
        <v>1.5</v>
      </c>
      <c r="S40" s="58" t="n">
        <f aca="false">IF(RoundStep&gt;0,ROUND(S30/HrsWk/RoundStep,0)*RoundStep,S30/HrsWk)</f>
        <v>1.5</v>
      </c>
      <c r="T40" s="58" t="n">
        <f aca="false">IF(RoundStep&gt;0,ROUND(T30/HrsWk/RoundStep,0)*RoundStep,T30/HrsWk)</f>
        <v>1.5</v>
      </c>
      <c r="U40" s="58" t="n">
        <f aca="false">IF(RoundStep&gt;0,ROUND(U30/HrsWk/RoundStep,0)*RoundStep,U30/HrsWk)</f>
        <v>1.5</v>
      </c>
      <c r="V40" s="58" t="n">
        <f aca="false">IF(RoundStep&gt;0,ROUND(V30/HrsWk/RoundStep,0)*RoundStep,V30/HrsWk)</f>
        <v>1.5</v>
      </c>
      <c r="W40" s="58" t="n">
        <f aca="false">IF(RoundStep&gt;0,ROUND(W30/HrsWk/RoundStep,0)*RoundStep,W30/HrsWk)</f>
        <v>1.5</v>
      </c>
      <c r="X40" s="58" t="n">
        <f aca="false">IF(RoundStep&gt;0,ROUND(X30/HrsWk/RoundStep,0)*RoundStep,X30/HrsWk)</f>
        <v>1.5</v>
      </c>
      <c r="Y40" s="58" t="n">
        <f aca="false">IF(RoundStep&gt;0,ROUND(Y30/HrsWk/RoundStep,0)*RoundStep,Y30/HrsWk)</f>
        <v>1.5</v>
      </c>
      <c r="Z40" s="58" t="n">
        <f aca="false">IF(RoundStep&gt;0,ROUND(Z30/HrsWk/RoundStep,0)*RoundStep,Z30/HrsWk)</f>
        <v>1.5</v>
      </c>
      <c r="AA40" s="58" t="n">
        <f aca="false">IF(RoundStep&gt;0,ROUND(AA30/HrsWk/RoundStep,0)*RoundStep,AA30/HrsWk)</f>
        <v>1.5</v>
      </c>
      <c r="AB40" s="58" t="n">
        <f aca="false">IF(RoundStep&gt;0,ROUND(AB30/HrsWk/RoundStep,0)*RoundStep,AB30/HrsWk)</f>
        <v>1.5</v>
      </c>
      <c r="AC40" s="58" t="n">
        <f aca="false">IF(RoundStep&gt;0,ROUND(AC30/HrsWk/RoundStep,0)*RoundStep,AC30/HrsWk)</f>
        <v>1.5</v>
      </c>
      <c r="AD40" s="58" t="n">
        <f aca="false">IF(RoundStep&gt;0,ROUND(AD30/HrsWk/RoundStep,0)*RoundStep,AD30/HrsWk)</f>
        <v>1.5</v>
      </c>
      <c r="AE40" s="58" t="n">
        <f aca="false">IF(RoundStep&gt;0,ROUND(AE30/HrsWk/RoundStep,0)*RoundStep,AE30/HrsWk)</f>
        <v>1.5</v>
      </c>
      <c r="AF40" s="58" t="n">
        <f aca="false">IF(RoundStep&gt;0,ROUND(AF30/HrsWk/RoundStep,0)*RoundStep,AF30/HrsWk)</f>
        <v>1.5</v>
      </c>
      <c r="AG40" s="58" t="n">
        <f aca="false">IF(RoundStep&gt;0,ROUND(AG30/HrsWk/RoundStep,0)*RoundStep,AG30/HrsWk)</f>
        <v>1.5</v>
      </c>
      <c r="AH40" s="58" t="n">
        <f aca="false">IF(RoundStep&gt;0,ROUND(AH30/HrsWk/RoundStep,0)*RoundStep,AH30/HrsWk)</f>
        <v>1.5</v>
      </c>
      <c r="AI40" s="58" t="n">
        <f aca="false">IF(RoundStep&gt;0,ROUND(AI30/HrsWk/RoundStep,0)*RoundStep,AI30/HrsWk)</f>
        <v>1.5</v>
      </c>
      <c r="AJ40" s="58" t="n">
        <f aca="false">IF(RoundStep&gt;0,ROUND(AJ30/HrsWk/RoundStep,0)*RoundStep,AJ30/HrsWk)</f>
        <v>1.5</v>
      </c>
      <c r="AK40" s="58" t="n">
        <f aca="false">IF(RoundStep&gt;0,ROUND(AK30/HrsWk/RoundStep,0)*RoundStep,AK30/HrsWk)</f>
        <v>0</v>
      </c>
      <c r="AL40" s="58" t="n">
        <f aca="false">IF(RoundStep&gt;0,ROUND(AL30/HrsWk/RoundStep,0)*RoundStep,AL30/HrsWk)</f>
        <v>0</v>
      </c>
      <c r="AM40" s="58" t="n">
        <f aca="false">IF(RoundStep&gt;0,ROUND(AM30/HrsWk/RoundStep,0)*RoundStep,AM30/HrsWk)</f>
        <v>0</v>
      </c>
      <c r="AN40" s="58" t="n">
        <f aca="false">IF(RoundStep&gt;0,ROUND(AN30/HrsWk/RoundStep,0)*RoundStep,AN30/HrsWk)</f>
        <v>0</v>
      </c>
      <c r="AO40" s="58" t="n">
        <f aca="false">IF(RoundStep&gt;0,ROUND(AO30/HrsWk/RoundStep,0)*RoundStep,AO30/HrsWk)</f>
        <v>0</v>
      </c>
      <c r="AP40" s="58" t="n">
        <f aca="false">IF(RoundStep&gt;0,ROUND(AP30/HrsWk/RoundStep,0)*RoundStep,AP30/HrsWk)</f>
        <v>0</v>
      </c>
      <c r="AQ40" s="58" t="n">
        <f aca="false">IF(RoundStep&gt;0,ROUND(AQ30/HrsWk/RoundStep,0)*RoundStep,AQ30/HrsWk)</f>
        <v>0</v>
      </c>
      <c r="AR40" s="58" t="n">
        <f aca="false">IF(RoundStep&gt;0,ROUND(AR30/HrsWk/RoundStep,0)*RoundStep,AR30/HrsWk)</f>
        <v>0</v>
      </c>
      <c r="AS40" s="58" t="n">
        <f aca="false">IF(RoundStep&gt;0,ROUND(AS30/HrsWk/RoundStep,0)*RoundStep,AS30/HrsWk)</f>
        <v>0</v>
      </c>
      <c r="AT40" s="58" t="n">
        <f aca="false">IF(RoundStep&gt;0,ROUND(AT30/HrsWk/RoundStep,0)*RoundStep,AT30/HrsWk)</f>
        <v>0</v>
      </c>
      <c r="AU40" s="58" t="n">
        <f aca="false">IF(RoundStep&gt;0,ROUND(AU30/HrsWk/RoundStep,0)*RoundStep,AU30/HrsWk)</f>
        <v>0</v>
      </c>
      <c r="AV40" s="58" t="n">
        <f aca="false">IF(RoundStep&gt;0,ROUND(AV30/HrsWk/RoundStep,0)*RoundStep,AV30/HrsWk)</f>
        <v>0</v>
      </c>
      <c r="AW40" s="58" t="n">
        <f aca="false">IF(RoundStep&gt;0,ROUND(AW30/HrsWk/RoundStep,0)*RoundStep,AW30/HrsWk)</f>
        <v>0</v>
      </c>
      <c r="AX40" s="58" t="n">
        <f aca="false">IF(RoundStep&gt;0,ROUND(AX30/HrsWk/RoundStep,0)*RoundStep,AX30/HrsWk)</f>
        <v>0</v>
      </c>
      <c r="AY40" s="58" t="n">
        <f aca="false">IF(RoundStep&gt;0,ROUND(AY30/HrsWk/RoundStep,0)*RoundStep,AY30/HrsWk)</f>
        <v>0</v>
      </c>
      <c r="AZ40" s="58" t="n">
        <f aca="false">IF(RoundStep&gt;0,ROUND(AZ30/HrsWk/RoundStep,0)*RoundStep,AZ30/HrsWk)</f>
        <v>0</v>
      </c>
      <c r="BA40" s="58" t="n">
        <f aca="false">IF(RoundStep&gt;0,ROUND(BA30/HrsWk/RoundStep,0)*RoundStep,BA30/HrsWk)</f>
        <v>0</v>
      </c>
      <c r="BB40" s="58" t="n">
        <f aca="false">IF(RoundStep&gt;0,ROUND(BB30/HrsWk/RoundStep,0)*RoundStep,BB30/HrsWk)</f>
        <v>0</v>
      </c>
      <c r="BC40" s="58" t="n">
        <f aca="false">IF(RoundStep&gt;0,ROUND(BC30/HrsWk/RoundStep,0)*RoundStep,BC30/HrsWk)</f>
        <v>0</v>
      </c>
      <c r="BD40" s="58" t="n">
        <f aca="false">IF(RoundStep&gt;0,ROUND(BD30/HrsWk/RoundStep,0)*RoundStep,BD30/HrsWk)</f>
        <v>0</v>
      </c>
      <c r="BE40" s="58" t="n">
        <f aca="false">IF(RoundStep&gt;0,ROUND(BE30/HrsWk/RoundStep,0)*RoundStep,BE30/HrsWk)</f>
        <v>0</v>
      </c>
      <c r="BF40" s="58" t="n">
        <f aca="false">IF(RoundStep&gt;0,ROUND(BF30/HrsWk/RoundStep,0)*RoundStep,BF30/HrsWk)</f>
        <v>0</v>
      </c>
      <c r="BG40" s="58" t="n">
        <f aca="false">IF(RoundStep&gt;0,ROUND(BG30/HrsWk/RoundStep,0)*RoundStep,BG30/HrsWk)</f>
        <v>0</v>
      </c>
      <c r="BH40" s="58" t="n">
        <f aca="false">IF(RoundStep&gt;0,ROUND(BH30/HrsWk/RoundStep,0)*RoundStep,BH30/HrsWk)</f>
        <v>0</v>
      </c>
      <c r="BI40" s="58" t="n">
        <f aca="false">IF(RoundStep&gt;0,ROUND(BI30/HrsWk/RoundStep,0)*RoundStep,BI30/HrsWk)</f>
        <v>0</v>
      </c>
      <c r="BJ40" s="58" t="n">
        <f aca="false">IF(RoundStep&gt;0,ROUND(BJ30/HrsWk/RoundStep,0)*RoundStep,BJ30/HrsWk)</f>
        <v>0</v>
      </c>
      <c r="BK40" s="58" t="n">
        <f aca="false">IF(RoundStep&gt;0,ROUND(BK30/HrsWk/RoundStep,0)*RoundStep,BK30/HrsWk)</f>
        <v>0</v>
      </c>
      <c r="BL40" s="58" t="n">
        <f aca="false">IF(RoundStep&gt;0,ROUND(BL30/HrsWk/RoundStep,0)*RoundStep,BL30/HrsWk)</f>
        <v>0</v>
      </c>
      <c r="BM40" s="58" t="n">
        <f aca="false">IF(RoundStep&gt;0,ROUND(BM30/HrsWk/RoundStep,0)*RoundStep,BM30/HrsWk)</f>
        <v>0</v>
      </c>
      <c r="BN40" s="58" t="n">
        <f aca="false">IF(RoundStep&gt;0,ROUND(BN30/HrsWk/RoundStep,0)*RoundStep,BN30/HrsWk)</f>
        <v>0</v>
      </c>
      <c r="BO40" s="58" t="n">
        <f aca="false">IF(RoundStep&gt;0,ROUND(BO30/HrsWk/RoundStep,0)*RoundStep,BO30/HrsWk)</f>
        <v>0</v>
      </c>
      <c r="BP40" s="58" t="n">
        <f aca="false">IF(RoundStep&gt;0,ROUND(BP30/HrsWk/RoundStep,0)*RoundStep,BP30/HrsWk)</f>
        <v>0</v>
      </c>
      <c r="BQ40" s="58" t="n">
        <f aca="false">IF(RoundStep&gt;0,ROUND(BQ30/HrsWk/RoundStep,0)*RoundStep,BQ30/HrsWk)</f>
        <v>0</v>
      </c>
      <c r="BR40" s="58" t="n">
        <f aca="false">IF(RoundStep&gt;0,ROUND(BR30/HrsWk/RoundStep,0)*RoundStep,BR30/HrsWk)</f>
        <v>0</v>
      </c>
      <c r="BS40" s="58" t="n">
        <f aca="false">IF(RoundStep&gt;0,ROUND(BS30/HrsWk/RoundStep,0)*RoundStep,BS30/HrsWk)</f>
        <v>0</v>
      </c>
      <c r="BT40" s="58" t="n">
        <f aca="false">IF(RoundStep&gt;0,ROUND(BT30/HrsWk/RoundStep,0)*RoundStep,BT30/HrsWk)</f>
        <v>0</v>
      </c>
      <c r="BU40" s="58" t="n">
        <f aca="false">IF(RoundStep&gt;0,ROUND(BU30/HrsWk/RoundStep,0)*RoundStep,BU30/HrsWk)</f>
        <v>0</v>
      </c>
      <c r="BV40" s="58" t="n">
        <f aca="false">IF(RoundStep&gt;0,ROUND(BV30/HrsWk/RoundStep,0)*RoundStep,BV30/HrsWk)</f>
        <v>0</v>
      </c>
      <c r="BW40" s="58" t="n">
        <f aca="false">IF(RoundStep&gt;0,ROUND(BW30/HrsWk/RoundStep,0)*RoundStep,BW30/HrsWk)</f>
        <v>0</v>
      </c>
      <c r="BX40" s="58" t="n">
        <f aca="false">IF(RoundStep&gt;0,ROUND(BX30/HrsWk/RoundStep,0)*RoundStep,BX30/HrsWk)</f>
        <v>0</v>
      </c>
      <c r="BY40" s="58" t="n">
        <f aca="false">IF(RoundStep&gt;0,ROUND(BY30/HrsWk/RoundStep,0)*RoundStep,BY30/HrsWk)</f>
        <v>0</v>
      </c>
      <c r="BZ40" s="58" t="n">
        <f aca="false">IF(RoundStep&gt;0,ROUND(BZ30/HrsWk/RoundStep,0)*RoundStep,BZ30/HrsWk)</f>
        <v>0</v>
      </c>
      <c r="CA40" s="58" t="n">
        <f aca="false">IF(RoundStep&gt;0,ROUND(CA30/HrsWk/RoundStep,0)*RoundStep,CA30/HrsWk)</f>
        <v>0</v>
      </c>
      <c r="CB40" s="58" t="n">
        <f aca="false">IF(RoundStep&gt;0,ROUND(CB30/HrsWk/RoundStep,0)*RoundStep,CB30/HrsWk)</f>
        <v>0</v>
      </c>
      <c r="CC40" s="58" t="n">
        <f aca="false">IF(RoundStep&gt;0,ROUND(CC30/HrsWk/RoundStep,0)*RoundStep,CC30/HrsWk)</f>
        <v>0</v>
      </c>
      <c r="CD40" s="58" t="n">
        <f aca="false">IF(RoundStep&gt;0,ROUND(CD30/HrsWk/RoundStep,0)*RoundStep,CD30/HrsWk)</f>
        <v>0</v>
      </c>
      <c r="CE40" s="58" t="n">
        <f aca="false">IF(RoundStep&gt;0,ROUND(CE30/HrsWk/RoundStep,0)*RoundStep,CE30/HrsWk)</f>
        <v>0</v>
      </c>
      <c r="CF40" s="58" t="n">
        <f aca="false">IF(RoundStep&gt;0,ROUND(CF30/HrsWk/RoundStep,0)*RoundStep,CF30/HrsWk)</f>
        <v>0</v>
      </c>
      <c r="CG40" s="58" t="n">
        <f aca="false">IF(RoundStep&gt;0,ROUND(CG30/HrsWk/RoundStep,0)*RoundStep,CG30/HrsWk)</f>
        <v>0</v>
      </c>
      <c r="CH40" s="58" t="n">
        <f aca="false">IF(RoundStep&gt;0,ROUND(CH30/HrsWk/RoundStep,0)*RoundStep,CH30/HrsWk)</f>
        <v>0</v>
      </c>
      <c r="CI40" s="58" t="n">
        <f aca="false">IF(RoundStep&gt;0,ROUND(CI30/HrsWk/RoundStep,0)*RoundStep,CI30/HrsWk)</f>
        <v>0</v>
      </c>
      <c r="CJ40" s="58" t="n">
        <f aca="false">IF(RoundStep&gt;0,ROUND(CJ30/HrsWk/RoundStep,0)*RoundStep,CJ30/HrsWk)</f>
        <v>0</v>
      </c>
      <c r="CK40" s="58" t="n">
        <f aca="false">IF(RoundStep&gt;0,ROUND(CK30/HrsWk/RoundStep,0)*RoundStep,CK30/HrsWk)</f>
        <v>0</v>
      </c>
      <c r="CL40" s="58" t="n">
        <f aca="false">IF(RoundStep&gt;0,ROUND(CL30/HrsWk/RoundStep,0)*RoundStep,CL30/HrsWk)</f>
        <v>0</v>
      </c>
      <c r="CM40" s="58" t="n">
        <f aca="false">IF(RoundStep&gt;0,ROUND(CM30/HrsWk/RoundStep,0)*RoundStep,CM30/HrsWk)</f>
        <v>0</v>
      </c>
      <c r="CN40" s="58" t="n">
        <f aca="false">IF(RoundStep&gt;0,ROUND(CN30/HrsWk/RoundStep,0)*RoundStep,CN30/HrsWk)</f>
        <v>0</v>
      </c>
      <c r="CO40" s="58" t="n">
        <f aca="false">IF(RoundStep&gt;0,ROUND(CO30/HrsWk/RoundStep,0)*RoundStep,CO30/HrsWk)</f>
        <v>0</v>
      </c>
      <c r="CP40" s="58" t="n">
        <f aca="false">IF(RoundStep&gt;0,ROUND(CP30/HrsWk/RoundStep,0)*RoundStep,CP30/HrsWk)</f>
        <v>0</v>
      </c>
      <c r="CQ40" s="58" t="n">
        <f aca="false">IF(RoundStep&gt;0,ROUND(CQ30/HrsWk/RoundStep,0)*RoundStep,CQ30/HrsWk)</f>
        <v>0</v>
      </c>
      <c r="CR40" s="58" t="n">
        <f aca="false">IF(RoundStep&gt;0,ROUND(CR30/HrsWk/RoundStep,0)*RoundStep,CR30/HrsWk)</f>
        <v>0</v>
      </c>
      <c r="CS40" s="58" t="n">
        <f aca="false">IF(RoundStep&gt;0,ROUND(CS30/HrsWk/RoundStep,0)*RoundStep,CS30/HrsWk)</f>
        <v>0</v>
      </c>
      <c r="CT40" s="58" t="n">
        <f aca="false">IF(RoundStep&gt;0,ROUND(CT30/HrsWk/RoundStep,0)*RoundStep,CT30/HrsWk)</f>
        <v>0</v>
      </c>
      <c r="CU40" s="58" t="n">
        <f aca="false">IF(RoundStep&gt;0,ROUND(CU30/HrsWk/RoundStep,0)*RoundStep,CU30/HrsWk)</f>
        <v>0</v>
      </c>
      <c r="CV40" s="58" t="n">
        <f aca="false">IF(RoundStep&gt;0,ROUND(CV30/HrsWk/RoundStep,0)*RoundStep,CV30/HrsWk)</f>
        <v>0</v>
      </c>
      <c r="CW40" s="58" t="n">
        <f aca="false">IF(RoundStep&gt;0,ROUND(CW30/HrsWk/RoundStep,0)*RoundStep,CW30/HrsWk)</f>
        <v>0</v>
      </c>
      <c r="CX40" s="58" t="n">
        <f aca="false">IF(RoundStep&gt;0,ROUND(CX30/HrsWk/RoundStep,0)*RoundStep,CX30/HrsWk)</f>
        <v>0</v>
      </c>
      <c r="CY40" s="58" t="n">
        <f aca="false">IF(RoundStep&gt;0,ROUND(CY30/HrsWk/RoundStep,0)*RoundStep,CY30/HrsWk)</f>
        <v>0</v>
      </c>
      <c r="CZ40" s="58" t="n">
        <f aca="false">IF(RoundStep&gt;0,ROUND(CZ30/HrsWk/RoundStep,0)*RoundStep,CZ30/HrsWk)</f>
        <v>0</v>
      </c>
      <c r="DA40" s="58" t="n">
        <f aca="false">IF(RoundStep&gt;0,ROUND(DA30/HrsWk/RoundStep,0)*RoundStep,DA30/HrsWk)</f>
        <v>0</v>
      </c>
      <c r="DB40" s="58" t="n">
        <f aca="false">IF(RoundStep&gt;0,ROUND(DB30/HrsWk/RoundStep,0)*RoundStep,DB30/HrsWk)</f>
        <v>0</v>
      </c>
      <c r="DC40" s="58" t="n">
        <f aca="false">IF(RoundStep&gt;0,ROUND(DC30/HrsWk/RoundStep,0)*RoundStep,DC30/HrsWk)</f>
        <v>0</v>
      </c>
      <c r="DD40" s="58" t="n">
        <f aca="false">IF(RoundStep&gt;0,ROUND(DD30/HrsWk/RoundStep,0)*RoundStep,DD30/HrsWk)</f>
        <v>0</v>
      </c>
      <c r="DE40" s="58" t="n">
        <f aca="false">IF(RoundStep&gt;0,ROUND(DE30/HrsWk/RoundStep,0)*RoundStep,DE30/HrsWk)</f>
        <v>0</v>
      </c>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row>
    <row r="42" customFormat="false" ht="15" hidden="false" customHeight="false" outlineLevel="0" collapsed="false">
      <c r="A42" s="4" t="s">
        <v>586</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row>
    <row r="43" customFormat="false" ht="15" hidden="false" customHeight="false" outlineLevel="0" collapsed="false">
      <c r="A43" s="9" t="str">
        <f aca="false">Roles!B6</f>
        <v>Delivery manager / PM</v>
      </c>
      <c r="B43" s="2"/>
      <c r="C43" s="2"/>
      <c r="D43" s="2"/>
      <c r="E43" s="2"/>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9"/>
      <c r="BF43" s="59"/>
      <c r="BG43" s="59"/>
      <c r="BH43" s="59"/>
      <c r="BI43" s="59"/>
      <c r="BJ43" s="59"/>
      <c r="BK43" s="59"/>
      <c r="BL43" s="59"/>
      <c r="BM43" s="59"/>
      <c r="BN43" s="59"/>
      <c r="BO43" s="59"/>
      <c r="BP43" s="59"/>
      <c r="BQ43" s="59"/>
      <c r="BR43" s="59"/>
      <c r="BS43" s="59"/>
      <c r="BT43" s="59"/>
      <c r="BU43" s="59"/>
      <c r="BV43" s="59"/>
      <c r="BW43" s="59"/>
      <c r="BX43" s="59"/>
      <c r="BY43" s="59"/>
      <c r="BZ43" s="59"/>
      <c r="CA43" s="59"/>
      <c r="CB43" s="59"/>
      <c r="CC43" s="59"/>
      <c r="CD43" s="59"/>
      <c r="CE43" s="59"/>
      <c r="CF43" s="59"/>
      <c r="CG43" s="59"/>
      <c r="CH43" s="59"/>
      <c r="CI43" s="59"/>
      <c r="CJ43" s="59"/>
      <c r="CK43" s="59"/>
      <c r="CL43" s="59"/>
      <c r="CM43" s="59"/>
      <c r="CN43" s="59"/>
      <c r="CO43" s="59"/>
      <c r="CP43" s="59"/>
      <c r="CQ43" s="59"/>
      <c r="CR43" s="59"/>
      <c r="CS43" s="59"/>
      <c r="CT43" s="59"/>
      <c r="CU43" s="59"/>
      <c r="CV43" s="59"/>
      <c r="CW43" s="59"/>
      <c r="CX43" s="59"/>
      <c r="CY43" s="59"/>
      <c r="CZ43" s="59"/>
      <c r="DA43" s="59"/>
      <c r="DB43" s="59"/>
      <c r="DC43" s="59"/>
      <c r="DD43" s="59"/>
      <c r="DE43" s="59"/>
    </row>
    <row r="44" customFormat="false" ht="15" hidden="false" customHeight="false" outlineLevel="0" collapsed="false">
      <c r="A44" s="9" t="str">
        <f aca="false">Roles!B7</f>
        <v>Onsite architect</v>
      </c>
      <c r="B44" s="2"/>
      <c r="C44" s="2"/>
      <c r="D44" s="2"/>
      <c r="E44" s="2"/>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59"/>
      <c r="BN44" s="59"/>
      <c r="BO44" s="59"/>
      <c r="BP44" s="59"/>
      <c r="BQ44" s="59"/>
      <c r="BR44" s="59"/>
      <c r="BS44" s="59"/>
      <c r="BT44" s="59"/>
      <c r="BU44" s="59"/>
      <c r="BV44" s="59"/>
      <c r="BW44" s="59"/>
      <c r="BX44" s="59"/>
      <c r="BY44" s="59"/>
      <c r="BZ44" s="59"/>
      <c r="CA44" s="59"/>
      <c r="CB44" s="59"/>
      <c r="CC44" s="59"/>
      <c r="CD44" s="59"/>
      <c r="CE44" s="59"/>
      <c r="CF44" s="59"/>
      <c r="CG44" s="59"/>
      <c r="CH44" s="59"/>
      <c r="CI44" s="59"/>
      <c r="CJ44" s="59"/>
      <c r="CK44" s="59"/>
      <c r="CL44" s="59"/>
      <c r="CM44" s="59"/>
      <c r="CN44" s="59"/>
      <c r="CO44" s="59"/>
      <c r="CP44" s="59"/>
      <c r="CQ44" s="59"/>
      <c r="CR44" s="59"/>
      <c r="CS44" s="59"/>
      <c r="CT44" s="59"/>
      <c r="CU44" s="59"/>
      <c r="CV44" s="59"/>
      <c r="CW44" s="59"/>
      <c r="CX44" s="59"/>
      <c r="CY44" s="59"/>
      <c r="CZ44" s="59"/>
      <c r="DA44" s="59"/>
      <c r="DB44" s="59"/>
      <c r="DC44" s="59"/>
      <c r="DD44" s="59"/>
      <c r="DE44" s="59"/>
    </row>
    <row r="45" customFormat="false" ht="15" hidden="false" customHeight="false" outlineLevel="0" collapsed="false">
      <c r="A45" s="9" t="str">
        <f aca="false">Roles!B8</f>
        <v>Solution architect</v>
      </c>
      <c r="B45" s="2"/>
      <c r="C45" s="2"/>
      <c r="D45" s="2"/>
      <c r="E45" s="2"/>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59"/>
      <c r="BL45" s="59"/>
      <c r="BM45" s="59"/>
      <c r="BN45" s="59"/>
      <c r="BO45" s="59"/>
      <c r="BP45" s="59"/>
      <c r="BQ45" s="59"/>
      <c r="BR45" s="59"/>
      <c r="BS45" s="59"/>
      <c r="BT45" s="59"/>
      <c r="BU45" s="59"/>
      <c r="BV45" s="59"/>
      <c r="BW45" s="59"/>
      <c r="BX45" s="59"/>
      <c r="BY45" s="59"/>
      <c r="BZ45" s="59"/>
      <c r="CA45" s="59"/>
      <c r="CB45" s="59"/>
      <c r="CC45" s="59"/>
      <c r="CD45" s="59"/>
      <c r="CE45" s="59"/>
      <c r="CF45" s="59"/>
      <c r="CG45" s="59"/>
      <c r="CH45" s="59"/>
      <c r="CI45" s="59"/>
      <c r="CJ45" s="59"/>
      <c r="CK45" s="59"/>
      <c r="CL45" s="59"/>
      <c r="CM45" s="59"/>
      <c r="CN45" s="59"/>
      <c r="CO45" s="59"/>
      <c r="CP45" s="59"/>
      <c r="CQ45" s="59"/>
      <c r="CR45" s="59"/>
      <c r="CS45" s="59"/>
      <c r="CT45" s="59"/>
      <c r="CU45" s="59"/>
      <c r="CV45" s="59"/>
      <c r="CW45" s="59"/>
      <c r="CX45" s="59"/>
      <c r="CY45" s="59"/>
      <c r="CZ45" s="59"/>
      <c r="DA45" s="59"/>
      <c r="DB45" s="59"/>
      <c r="DC45" s="59"/>
      <c r="DD45" s="59"/>
      <c r="DE45" s="59"/>
    </row>
    <row r="46" customFormat="false" ht="15" hidden="false" customHeight="false" outlineLevel="0" collapsed="false">
      <c r="A46" s="9" t="str">
        <f aca="false">Roles!B9</f>
        <v>BI architect</v>
      </c>
      <c r="B46" s="2"/>
      <c r="C46" s="2"/>
      <c r="D46" s="2"/>
      <c r="E46" s="2"/>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59"/>
      <c r="BE46" s="59"/>
      <c r="BF46" s="59"/>
      <c r="BG46" s="59"/>
      <c r="BH46" s="59"/>
      <c r="BI46" s="59"/>
      <c r="BJ46" s="59"/>
      <c r="BK46" s="59"/>
      <c r="BL46" s="59"/>
      <c r="BM46" s="59"/>
      <c r="BN46" s="59"/>
      <c r="BO46" s="59"/>
      <c r="BP46" s="59"/>
      <c r="BQ46" s="59"/>
      <c r="BR46" s="59"/>
      <c r="BS46" s="59"/>
      <c r="BT46" s="59"/>
      <c r="BU46" s="59"/>
      <c r="BV46" s="59"/>
      <c r="BW46" s="59"/>
      <c r="BX46" s="59"/>
      <c r="BY46" s="59"/>
      <c r="BZ46" s="59"/>
      <c r="CA46" s="59"/>
      <c r="CB46" s="59"/>
      <c r="CC46" s="59"/>
      <c r="CD46" s="59"/>
      <c r="CE46" s="59"/>
      <c r="CF46" s="59"/>
      <c r="CG46" s="59"/>
      <c r="CH46" s="59"/>
      <c r="CI46" s="59"/>
      <c r="CJ46" s="59"/>
      <c r="CK46" s="59"/>
      <c r="CL46" s="59"/>
      <c r="CM46" s="59"/>
      <c r="CN46" s="59"/>
      <c r="CO46" s="59"/>
      <c r="CP46" s="59"/>
      <c r="CQ46" s="59"/>
      <c r="CR46" s="59"/>
      <c r="CS46" s="59"/>
      <c r="CT46" s="59"/>
      <c r="CU46" s="59"/>
      <c r="CV46" s="59"/>
      <c r="CW46" s="59"/>
      <c r="CX46" s="59"/>
      <c r="CY46" s="59"/>
      <c r="CZ46" s="59"/>
      <c r="DA46" s="59"/>
      <c r="DB46" s="59"/>
      <c r="DC46" s="59"/>
      <c r="DD46" s="59"/>
      <c r="DE46" s="59"/>
    </row>
    <row r="47" customFormat="false" ht="15" hidden="false" customHeight="false" outlineLevel="0" collapsed="false">
      <c r="A47" s="9" t="str">
        <f aca="false">Roles!B10</f>
        <v>Lead</v>
      </c>
      <c r="B47" s="2"/>
      <c r="C47" s="2"/>
      <c r="D47" s="2"/>
      <c r="E47" s="2"/>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59"/>
      <c r="BE47" s="59"/>
      <c r="BF47" s="59"/>
      <c r="BG47" s="59"/>
      <c r="BH47" s="59"/>
      <c r="BI47" s="59"/>
      <c r="BJ47" s="59"/>
      <c r="BK47" s="59"/>
      <c r="BL47" s="59"/>
      <c r="BM47" s="59"/>
      <c r="BN47" s="59"/>
      <c r="BO47" s="59"/>
      <c r="BP47" s="59"/>
      <c r="BQ47" s="59"/>
      <c r="BR47" s="59"/>
      <c r="BS47" s="59"/>
      <c r="BT47" s="59"/>
      <c r="BU47" s="59"/>
      <c r="BV47" s="59"/>
      <c r="BW47" s="59"/>
      <c r="BX47" s="59"/>
      <c r="BY47" s="59"/>
      <c r="BZ47" s="59"/>
      <c r="CA47" s="59"/>
      <c r="CB47" s="59"/>
      <c r="CC47" s="59"/>
      <c r="CD47" s="59"/>
      <c r="CE47" s="59"/>
      <c r="CF47" s="59"/>
      <c r="CG47" s="59"/>
      <c r="CH47" s="59"/>
      <c r="CI47" s="59"/>
      <c r="CJ47" s="59"/>
      <c r="CK47" s="59"/>
      <c r="CL47" s="59"/>
      <c r="CM47" s="59"/>
      <c r="CN47" s="59"/>
      <c r="CO47" s="59"/>
      <c r="CP47" s="59"/>
      <c r="CQ47" s="59"/>
      <c r="CR47" s="59"/>
      <c r="CS47" s="59"/>
      <c r="CT47" s="59"/>
      <c r="CU47" s="59"/>
      <c r="CV47" s="59"/>
      <c r="CW47" s="59"/>
      <c r="CX47" s="59"/>
      <c r="CY47" s="59"/>
      <c r="CZ47" s="59"/>
      <c r="DA47" s="59"/>
      <c r="DB47" s="59"/>
      <c r="DC47" s="59"/>
      <c r="DD47" s="59"/>
      <c r="DE47" s="59"/>
    </row>
    <row r="48" customFormat="false" ht="15" hidden="false" customHeight="false" outlineLevel="0" collapsed="false">
      <c r="A48" s="9" t="str">
        <f aca="false">Roles!B11</f>
        <v>Sr. engineer</v>
      </c>
      <c r="B48" s="2"/>
      <c r="C48" s="2"/>
      <c r="D48" s="2"/>
      <c r="E48" s="2"/>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59"/>
      <c r="DB48" s="59"/>
      <c r="DC48" s="59"/>
      <c r="DD48" s="59"/>
      <c r="DE48" s="59"/>
    </row>
    <row r="49" customFormat="false" ht="15" hidden="false" customHeight="false" outlineLevel="0" collapsed="false">
      <c r="A49" s="9" t="str">
        <f aca="false">Roles!B12</f>
        <v>Engineer</v>
      </c>
      <c r="B49" s="2"/>
      <c r="C49" s="2"/>
      <c r="D49" s="2"/>
      <c r="E49" s="2"/>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59"/>
      <c r="BC49" s="59"/>
      <c r="BD49" s="59"/>
      <c r="BE49" s="59"/>
      <c r="BF49" s="59"/>
      <c r="BG49" s="59"/>
      <c r="BH49" s="59"/>
      <c r="BI49" s="59"/>
      <c r="BJ49" s="59"/>
      <c r="BK49" s="59"/>
      <c r="BL49" s="59"/>
      <c r="BM49" s="59"/>
      <c r="BN49" s="59"/>
      <c r="BO49" s="59"/>
      <c r="BP49" s="59"/>
      <c r="BQ49" s="59"/>
      <c r="BR49" s="59"/>
      <c r="BS49" s="59"/>
      <c r="BT49" s="59"/>
      <c r="BU49" s="59"/>
      <c r="BV49" s="59"/>
      <c r="BW49" s="59"/>
      <c r="BX49" s="59"/>
      <c r="BY49" s="59"/>
      <c r="BZ49" s="59"/>
      <c r="CA49" s="59"/>
      <c r="CB49" s="59"/>
      <c r="CC49" s="59"/>
      <c r="CD49" s="59"/>
      <c r="CE49" s="59"/>
      <c r="CF49" s="59"/>
      <c r="CG49" s="59"/>
      <c r="CH49" s="59"/>
      <c r="CI49" s="59"/>
      <c r="CJ49" s="59"/>
      <c r="CK49" s="59"/>
      <c r="CL49" s="59"/>
      <c r="CM49" s="59"/>
      <c r="CN49" s="59"/>
      <c r="CO49" s="59"/>
      <c r="CP49" s="59"/>
      <c r="CQ49" s="59"/>
      <c r="CR49" s="59"/>
      <c r="CS49" s="59"/>
      <c r="CT49" s="59"/>
      <c r="CU49" s="59"/>
      <c r="CV49" s="59"/>
      <c r="CW49" s="59"/>
      <c r="CX49" s="59"/>
      <c r="CY49" s="59"/>
      <c r="CZ49" s="59"/>
      <c r="DA49" s="59"/>
      <c r="DB49" s="59"/>
      <c r="DC49" s="59"/>
      <c r="DD49" s="59"/>
      <c r="DE49" s="59"/>
    </row>
    <row r="50" customFormat="false" ht="15" hidden="false" customHeight="false" outlineLevel="0" collapsed="false">
      <c r="A50" s="9" t="str">
        <f aca="false">Roles!B13</f>
        <v>QA engineer</v>
      </c>
      <c r="B50" s="2"/>
      <c r="C50" s="2"/>
      <c r="D50" s="2"/>
      <c r="E50" s="2"/>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59"/>
      <c r="BK50" s="59"/>
      <c r="BL50" s="59"/>
      <c r="BM50" s="59"/>
      <c r="BN50" s="59"/>
      <c r="BO50" s="59"/>
      <c r="BP50" s="59"/>
      <c r="BQ50" s="59"/>
      <c r="BR50" s="59"/>
      <c r="BS50" s="59"/>
      <c r="BT50" s="59"/>
      <c r="BU50" s="59"/>
      <c r="BV50" s="59"/>
      <c r="BW50" s="59"/>
      <c r="BX50" s="59"/>
      <c r="BY50" s="59"/>
      <c r="BZ50" s="59"/>
      <c r="CA50" s="59"/>
      <c r="CB50" s="59"/>
      <c r="CC50" s="59"/>
      <c r="CD50" s="59"/>
      <c r="CE50" s="59"/>
      <c r="CF50" s="59"/>
      <c r="CG50" s="59"/>
      <c r="CH50" s="59"/>
      <c r="CI50" s="59"/>
      <c r="CJ50" s="59"/>
      <c r="CK50" s="59"/>
      <c r="CL50" s="59"/>
      <c r="CM50" s="59"/>
      <c r="CN50" s="59"/>
      <c r="CO50" s="59"/>
      <c r="CP50" s="59"/>
      <c r="CQ50" s="59"/>
      <c r="CR50" s="59"/>
      <c r="CS50" s="59"/>
      <c r="CT50" s="59"/>
      <c r="CU50" s="59"/>
      <c r="CV50" s="59"/>
      <c r="CW50" s="59"/>
      <c r="CX50" s="59"/>
      <c r="CY50" s="59"/>
      <c r="CZ50" s="59"/>
      <c r="DA50" s="59"/>
      <c r="DB50" s="59"/>
      <c r="DC50" s="59"/>
      <c r="DD50" s="59"/>
      <c r="DE50" s="59"/>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row>
    <row r="52" customFormat="false" ht="15" hidden="false" customHeight="false" outlineLevel="0" collapsed="false">
      <c r="A52" s="4" t="s">
        <v>587</v>
      </c>
      <c r="B52" s="2"/>
      <c r="C52" s="2"/>
      <c r="D52" s="5" t="s">
        <v>588</v>
      </c>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row>
    <row r="53" customFormat="false" ht="15" hidden="false" customHeight="false" outlineLevel="0" collapsed="false">
      <c r="A53" s="9" t="str">
        <f aca="false">Roles!B6</f>
        <v>Delivery manager / PM</v>
      </c>
      <c r="B53" s="2"/>
      <c r="C53" s="2"/>
      <c r="D53" s="22" t="n">
        <f aca="false">SUM(F53:DE53)*HrsWk</f>
        <v>1440</v>
      </c>
      <c r="E53" s="9" t="str">
        <f aca="false">A53</f>
        <v>Delivery manager / PM</v>
      </c>
      <c r="F53" s="58" t="n">
        <f aca="false">MAX(0,F33+N(F43))</f>
        <v>1</v>
      </c>
      <c r="G53" s="58" t="n">
        <f aca="false">MAX(0,G33+N(G43))</f>
        <v>1</v>
      </c>
      <c r="H53" s="58" t="n">
        <f aca="false">MAX(0,H33+N(H43))</f>
        <v>1</v>
      </c>
      <c r="I53" s="58" t="n">
        <f aca="false">MAX(0,I33+N(I43))</f>
        <v>1</v>
      </c>
      <c r="J53" s="58" t="n">
        <f aca="false">MAX(0,J33+N(J43))</f>
        <v>1</v>
      </c>
      <c r="K53" s="58" t="n">
        <f aca="false">MAX(0,K33+N(K43))</f>
        <v>1</v>
      </c>
      <c r="L53" s="58" t="n">
        <f aca="false">MAX(0,L33+N(L43))</f>
        <v>1</v>
      </c>
      <c r="M53" s="58" t="n">
        <f aca="false">MAX(0,M33+N(M43))</f>
        <v>1</v>
      </c>
      <c r="N53" s="58" t="n">
        <f aca="false">MAX(0,N33+N(N43))</f>
        <v>1</v>
      </c>
      <c r="O53" s="58" t="n">
        <f aca="false">MAX(0,O33+N(O43))</f>
        <v>1</v>
      </c>
      <c r="P53" s="58" t="n">
        <f aca="false">MAX(0,P33+N(P43))</f>
        <v>1</v>
      </c>
      <c r="Q53" s="58" t="n">
        <f aca="false">MAX(0,Q33+N(Q43))</f>
        <v>1</v>
      </c>
      <c r="R53" s="58" t="n">
        <f aca="false">MAX(0,R33+N(R43))</f>
        <v>1</v>
      </c>
      <c r="S53" s="58" t="n">
        <f aca="false">MAX(0,S33+N(S43))</f>
        <v>1</v>
      </c>
      <c r="T53" s="58" t="n">
        <f aca="false">MAX(0,T33+N(T43))</f>
        <v>1</v>
      </c>
      <c r="U53" s="58" t="n">
        <f aca="false">MAX(0,U33+N(U43))</f>
        <v>1</v>
      </c>
      <c r="V53" s="58" t="n">
        <f aca="false">MAX(0,V33+N(V43))</f>
        <v>1</v>
      </c>
      <c r="W53" s="58" t="n">
        <f aca="false">MAX(0,W33+N(W43))</f>
        <v>1</v>
      </c>
      <c r="X53" s="58" t="n">
        <f aca="false">MAX(0,X33+N(X43))</f>
        <v>1</v>
      </c>
      <c r="Y53" s="58" t="n">
        <f aca="false">MAX(0,Y33+N(Y43))</f>
        <v>1</v>
      </c>
      <c r="Z53" s="58" t="n">
        <f aca="false">MAX(0,Z33+N(Z43))</f>
        <v>1</v>
      </c>
      <c r="AA53" s="58" t="n">
        <f aca="false">MAX(0,AA33+N(AA43))</f>
        <v>1</v>
      </c>
      <c r="AB53" s="58" t="n">
        <f aca="false">MAX(0,AB33+N(AB43))</f>
        <v>1</v>
      </c>
      <c r="AC53" s="58" t="n">
        <f aca="false">MAX(0,AC33+N(AC43))</f>
        <v>1</v>
      </c>
      <c r="AD53" s="58" t="n">
        <f aca="false">MAX(0,AD33+N(AD43))</f>
        <v>1</v>
      </c>
      <c r="AE53" s="58" t="n">
        <f aca="false">MAX(0,AE33+N(AE43))</f>
        <v>1</v>
      </c>
      <c r="AF53" s="58" t="n">
        <f aca="false">MAX(0,AF33+N(AF43))</f>
        <v>1</v>
      </c>
      <c r="AG53" s="58" t="n">
        <f aca="false">MAX(0,AG33+N(AG43))</f>
        <v>1</v>
      </c>
      <c r="AH53" s="58" t="n">
        <f aca="false">MAX(0,AH33+N(AH43))</f>
        <v>1</v>
      </c>
      <c r="AI53" s="58" t="n">
        <f aca="false">MAX(0,AI33+N(AI43))</f>
        <v>1</v>
      </c>
      <c r="AJ53" s="58" t="n">
        <f aca="false">MAX(0,AJ33+N(AJ43))</f>
        <v>1</v>
      </c>
      <c r="AK53" s="58" t="n">
        <f aca="false">MAX(0,AK33+N(AK43))</f>
        <v>1</v>
      </c>
      <c r="AL53" s="58" t="n">
        <f aca="false">MAX(0,AL33+N(AL43))</f>
        <v>1</v>
      </c>
      <c r="AM53" s="58" t="n">
        <f aca="false">MAX(0,AM33+N(AM43))</f>
        <v>1</v>
      </c>
      <c r="AN53" s="58" t="n">
        <f aca="false">MAX(0,AN33+N(AN43))</f>
        <v>1</v>
      </c>
      <c r="AO53" s="58" t="n">
        <f aca="false">MAX(0,AO33+N(AO43))</f>
        <v>1</v>
      </c>
      <c r="AP53" s="58" t="n">
        <f aca="false">MAX(0,AP33+N(AP43))</f>
        <v>0</v>
      </c>
      <c r="AQ53" s="58" t="n">
        <f aca="false">MAX(0,AQ33+N(AQ43))</f>
        <v>0</v>
      </c>
      <c r="AR53" s="58" t="n">
        <f aca="false">MAX(0,AR33+N(AR43))</f>
        <v>0</v>
      </c>
      <c r="AS53" s="58" t="n">
        <f aca="false">MAX(0,AS33+N(AS43))</f>
        <v>0</v>
      </c>
      <c r="AT53" s="58" t="n">
        <f aca="false">MAX(0,AT33+N(AT43))</f>
        <v>0</v>
      </c>
      <c r="AU53" s="58" t="n">
        <f aca="false">MAX(0,AU33+N(AU43))</f>
        <v>0</v>
      </c>
      <c r="AV53" s="58" t="n">
        <f aca="false">MAX(0,AV33+N(AV43))</f>
        <v>0</v>
      </c>
      <c r="AW53" s="58" t="n">
        <f aca="false">MAX(0,AW33+N(AW43))</f>
        <v>0</v>
      </c>
      <c r="AX53" s="58" t="n">
        <f aca="false">MAX(0,AX33+N(AX43))</f>
        <v>0</v>
      </c>
      <c r="AY53" s="58" t="n">
        <f aca="false">MAX(0,AY33+N(AY43))</f>
        <v>0</v>
      </c>
      <c r="AZ53" s="58" t="n">
        <f aca="false">MAX(0,AZ33+N(AZ43))</f>
        <v>0</v>
      </c>
      <c r="BA53" s="58" t="n">
        <f aca="false">MAX(0,BA33+N(BA43))</f>
        <v>0</v>
      </c>
      <c r="BB53" s="58" t="n">
        <f aca="false">MAX(0,BB33+N(BB43))</f>
        <v>0</v>
      </c>
      <c r="BC53" s="58" t="n">
        <f aca="false">MAX(0,BC33+N(BC43))</f>
        <v>0</v>
      </c>
      <c r="BD53" s="58" t="n">
        <f aca="false">MAX(0,BD33+N(BD43))</f>
        <v>0</v>
      </c>
      <c r="BE53" s="58" t="n">
        <f aca="false">MAX(0,BE33+N(BE43))</f>
        <v>0</v>
      </c>
      <c r="BF53" s="58" t="n">
        <f aca="false">MAX(0,BF33+N(BF43))</f>
        <v>0</v>
      </c>
      <c r="BG53" s="58" t="n">
        <f aca="false">MAX(0,BG33+N(BG43))</f>
        <v>0</v>
      </c>
      <c r="BH53" s="58" t="n">
        <f aca="false">MAX(0,BH33+N(BH43))</f>
        <v>0</v>
      </c>
      <c r="BI53" s="58" t="n">
        <f aca="false">MAX(0,BI33+N(BI43))</f>
        <v>0</v>
      </c>
      <c r="BJ53" s="58" t="n">
        <f aca="false">MAX(0,BJ33+N(BJ43))</f>
        <v>0</v>
      </c>
      <c r="BK53" s="58" t="n">
        <f aca="false">MAX(0,BK33+N(BK43))</f>
        <v>0</v>
      </c>
      <c r="BL53" s="58" t="n">
        <f aca="false">MAX(0,BL33+N(BL43))</f>
        <v>0</v>
      </c>
      <c r="BM53" s="58" t="n">
        <f aca="false">MAX(0,BM33+N(BM43))</f>
        <v>0</v>
      </c>
      <c r="BN53" s="58" t="n">
        <f aca="false">MAX(0,BN33+N(BN43))</f>
        <v>0</v>
      </c>
      <c r="BO53" s="58" t="n">
        <f aca="false">MAX(0,BO33+N(BO43))</f>
        <v>0</v>
      </c>
      <c r="BP53" s="58" t="n">
        <f aca="false">MAX(0,BP33+N(BP43))</f>
        <v>0</v>
      </c>
      <c r="BQ53" s="58" t="n">
        <f aca="false">MAX(0,BQ33+N(BQ43))</f>
        <v>0</v>
      </c>
      <c r="BR53" s="58" t="n">
        <f aca="false">MAX(0,BR33+N(BR43))</f>
        <v>0</v>
      </c>
      <c r="BS53" s="58" t="n">
        <f aca="false">MAX(0,BS33+N(BS43))</f>
        <v>0</v>
      </c>
      <c r="BT53" s="58" t="n">
        <f aca="false">MAX(0,BT33+N(BT43))</f>
        <v>0</v>
      </c>
      <c r="BU53" s="58" t="n">
        <f aca="false">MAX(0,BU33+N(BU43))</f>
        <v>0</v>
      </c>
      <c r="BV53" s="58" t="n">
        <f aca="false">MAX(0,BV33+N(BV43))</f>
        <v>0</v>
      </c>
      <c r="BW53" s="58" t="n">
        <f aca="false">MAX(0,BW33+N(BW43))</f>
        <v>0</v>
      </c>
      <c r="BX53" s="58" t="n">
        <f aca="false">MAX(0,BX33+N(BX43))</f>
        <v>0</v>
      </c>
      <c r="BY53" s="58" t="n">
        <f aca="false">MAX(0,BY33+N(BY43))</f>
        <v>0</v>
      </c>
      <c r="BZ53" s="58" t="n">
        <f aca="false">MAX(0,BZ33+N(BZ43))</f>
        <v>0</v>
      </c>
      <c r="CA53" s="58" t="n">
        <f aca="false">MAX(0,CA33+N(CA43))</f>
        <v>0</v>
      </c>
      <c r="CB53" s="58" t="n">
        <f aca="false">MAX(0,CB33+N(CB43))</f>
        <v>0</v>
      </c>
      <c r="CC53" s="58" t="n">
        <f aca="false">MAX(0,CC33+N(CC43))</f>
        <v>0</v>
      </c>
      <c r="CD53" s="58" t="n">
        <f aca="false">MAX(0,CD33+N(CD43))</f>
        <v>0</v>
      </c>
      <c r="CE53" s="58" t="n">
        <f aca="false">MAX(0,CE33+N(CE43))</f>
        <v>0</v>
      </c>
      <c r="CF53" s="58" t="n">
        <f aca="false">MAX(0,CF33+N(CF43))</f>
        <v>0</v>
      </c>
      <c r="CG53" s="58" t="n">
        <f aca="false">MAX(0,CG33+N(CG43))</f>
        <v>0</v>
      </c>
      <c r="CH53" s="58" t="n">
        <f aca="false">MAX(0,CH33+N(CH43))</f>
        <v>0</v>
      </c>
      <c r="CI53" s="58" t="n">
        <f aca="false">MAX(0,CI33+N(CI43))</f>
        <v>0</v>
      </c>
      <c r="CJ53" s="58" t="n">
        <f aca="false">MAX(0,CJ33+N(CJ43))</f>
        <v>0</v>
      </c>
      <c r="CK53" s="58" t="n">
        <f aca="false">MAX(0,CK33+N(CK43))</f>
        <v>0</v>
      </c>
      <c r="CL53" s="58" t="n">
        <f aca="false">MAX(0,CL33+N(CL43))</f>
        <v>0</v>
      </c>
      <c r="CM53" s="58" t="n">
        <f aca="false">MAX(0,CM33+N(CM43))</f>
        <v>0</v>
      </c>
      <c r="CN53" s="58" t="n">
        <f aca="false">MAX(0,CN33+N(CN43))</f>
        <v>0</v>
      </c>
      <c r="CO53" s="58" t="n">
        <f aca="false">MAX(0,CO33+N(CO43))</f>
        <v>0</v>
      </c>
      <c r="CP53" s="58" t="n">
        <f aca="false">MAX(0,CP33+N(CP43))</f>
        <v>0</v>
      </c>
      <c r="CQ53" s="58" t="n">
        <f aca="false">MAX(0,CQ33+N(CQ43))</f>
        <v>0</v>
      </c>
      <c r="CR53" s="58" t="n">
        <f aca="false">MAX(0,CR33+N(CR43))</f>
        <v>0</v>
      </c>
      <c r="CS53" s="58" t="n">
        <f aca="false">MAX(0,CS33+N(CS43))</f>
        <v>0</v>
      </c>
      <c r="CT53" s="58" t="n">
        <f aca="false">MAX(0,CT33+N(CT43))</f>
        <v>0</v>
      </c>
      <c r="CU53" s="58" t="n">
        <f aca="false">MAX(0,CU33+N(CU43))</f>
        <v>0</v>
      </c>
      <c r="CV53" s="58" t="n">
        <f aca="false">MAX(0,CV33+N(CV43))</f>
        <v>0</v>
      </c>
      <c r="CW53" s="58" t="n">
        <f aca="false">MAX(0,CW33+N(CW43))</f>
        <v>0</v>
      </c>
      <c r="CX53" s="58" t="n">
        <f aca="false">MAX(0,CX33+N(CX43))</f>
        <v>0</v>
      </c>
      <c r="CY53" s="58" t="n">
        <f aca="false">MAX(0,CY33+N(CY43))</f>
        <v>0</v>
      </c>
      <c r="CZ53" s="58" t="n">
        <f aca="false">MAX(0,CZ33+N(CZ43))</f>
        <v>0</v>
      </c>
      <c r="DA53" s="58" t="n">
        <f aca="false">MAX(0,DA33+N(DA43))</f>
        <v>0</v>
      </c>
      <c r="DB53" s="58" t="n">
        <f aca="false">MAX(0,DB33+N(DB43))</f>
        <v>0</v>
      </c>
      <c r="DC53" s="58" t="n">
        <f aca="false">MAX(0,DC33+N(DC43))</f>
        <v>0</v>
      </c>
      <c r="DD53" s="58" t="n">
        <f aca="false">MAX(0,DD33+N(DD43))</f>
        <v>0</v>
      </c>
      <c r="DE53" s="58" t="n">
        <f aca="false">MAX(0,DE33+N(DE43))</f>
        <v>0</v>
      </c>
    </row>
    <row r="54" customFormat="false" ht="15" hidden="false" customHeight="false" outlineLevel="0" collapsed="false">
      <c r="A54" s="9" t="str">
        <f aca="false">Roles!B7</f>
        <v>Onsite architect</v>
      </c>
      <c r="B54" s="2"/>
      <c r="C54" s="2"/>
      <c r="D54" s="22" t="n">
        <f aca="false">SUM(F54:DE54)*HrsWk</f>
        <v>160</v>
      </c>
      <c r="E54" s="9" t="str">
        <f aca="false">A54</f>
        <v>Onsite architect</v>
      </c>
      <c r="F54" s="58" t="n">
        <f aca="false">MAX(0,F34+N(F44))</f>
        <v>0.5</v>
      </c>
      <c r="G54" s="58" t="n">
        <f aca="false">MAX(0,G34+N(G44))</f>
        <v>0.5</v>
      </c>
      <c r="H54" s="58" t="n">
        <f aca="false">MAX(0,H34+N(H44))</f>
        <v>0.5</v>
      </c>
      <c r="I54" s="58" t="n">
        <f aca="false">MAX(0,I34+N(I44))</f>
        <v>1</v>
      </c>
      <c r="J54" s="58" t="n">
        <f aca="false">MAX(0,J34+N(J44))</f>
        <v>1</v>
      </c>
      <c r="K54" s="58" t="n">
        <f aca="false">MAX(0,K34+N(K44))</f>
        <v>0.5</v>
      </c>
      <c r="L54" s="58" t="n">
        <f aca="false">MAX(0,L34+N(L44))</f>
        <v>0</v>
      </c>
      <c r="M54" s="58" t="n">
        <f aca="false">MAX(0,M34+N(M44))</f>
        <v>0</v>
      </c>
      <c r="N54" s="58" t="n">
        <f aca="false">MAX(0,N34+N(N44))</f>
        <v>0</v>
      </c>
      <c r="O54" s="58" t="n">
        <f aca="false">MAX(0,O34+N(O44))</f>
        <v>0</v>
      </c>
      <c r="P54" s="58" t="n">
        <f aca="false">MAX(0,P34+N(P44))</f>
        <v>0</v>
      </c>
      <c r="Q54" s="58" t="n">
        <f aca="false">MAX(0,Q34+N(Q44))</f>
        <v>0</v>
      </c>
      <c r="R54" s="58" t="n">
        <f aca="false">MAX(0,R34+N(R44))</f>
        <v>0</v>
      </c>
      <c r="S54" s="58" t="n">
        <f aca="false">MAX(0,S34+N(S44))</f>
        <v>0</v>
      </c>
      <c r="T54" s="58" t="n">
        <f aca="false">MAX(0,T34+N(T44))</f>
        <v>0</v>
      </c>
      <c r="U54" s="58" t="n">
        <f aca="false">MAX(0,U34+N(U44))</f>
        <v>0</v>
      </c>
      <c r="V54" s="58" t="n">
        <f aca="false">MAX(0,V34+N(V44))</f>
        <v>0</v>
      </c>
      <c r="W54" s="58" t="n">
        <f aca="false">MAX(0,W34+N(W44))</f>
        <v>0</v>
      </c>
      <c r="X54" s="58" t="n">
        <f aca="false">MAX(0,X34+N(X44))</f>
        <v>0</v>
      </c>
      <c r="Y54" s="58" t="n">
        <f aca="false">MAX(0,Y34+N(Y44))</f>
        <v>0</v>
      </c>
      <c r="Z54" s="58" t="n">
        <f aca="false">MAX(0,Z34+N(Z44))</f>
        <v>0</v>
      </c>
      <c r="AA54" s="58" t="n">
        <f aca="false">MAX(0,AA34+N(AA44))</f>
        <v>0</v>
      </c>
      <c r="AB54" s="58" t="n">
        <f aca="false">MAX(0,AB34+N(AB44))</f>
        <v>0</v>
      </c>
      <c r="AC54" s="58" t="n">
        <f aca="false">MAX(0,AC34+N(AC44))</f>
        <v>0</v>
      </c>
      <c r="AD54" s="58" t="n">
        <f aca="false">MAX(0,AD34+N(AD44))</f>
        <v>0</v>
      </c>
      <c r="AE54" s="58" t="n">
        <f aca="false">MAX(0,AE34+N(AE44))</f>
        <v>0</v>
      </c>
      <c r="AF54" s="58" t="n">
        <f aca="false">MAX(0,AF34+N(AF44))</f>
        <v>0</v>
      </c>
      <c r="AG54" s="58" t="n">
        <f aca="false">MAX(0,AG34+N(AG44))</f>
        <v>0</v>
      </c>
      <c r="AH54" s="58" t="n">
        <f aca="false">MAX(0,AH34+N(AH44))</f>
        <v>0</v>
      </c>
      <c r="AI54" s="58" t="n">
        <f aca="false">MAX(0,AI34+N(AI44))</f>
        <v>0</v>
      </c>
      <c r="AJ54" s="58" t="n">
        <f aca="false">MAX(0,AJ34+N(AJ44))</f>
        <v>0</v>
      </c>
      <c r="AK54" s="58" t="n">
        <f aca="false">MAX(0,AK34+N(AK44))</f>
        <v>0</v>
      </c>
      <c r="AL54" s="58" t="n">
        <f aca="false">MAX(0,AL34+N(AL44))</f>
        <v>0</v>
      </c>
      <c r="AM54" s="58" t="n">
        <f aca="false">MAX(0,AM34+N(AM44))</f>
        <v>0</v>
      </c>
      <c r="AN54" s="58" t="n">
        <f aca="false">MAX(0,AN34+N(AN44))</f>
        <v>0</v>
      </c>
      <c r="AO54" s="58" t="n">
        <f aca="false">MAX(0,AO34+N(AO44))</f>
        <v>0</v>
      </c>
      <c r="AP54" s="58" t="n">
        <f aca="false">MAX(0,AP34+N(AP44))</f>
        <v>0</v>
      </c>
      <c r="AQ54" s="58" t="n">
        <f aca="false">MAX(0,AQ34+N(AQ44))</f>
        <v>0</v>
      </c>
      <c r="AR54" s="58" t="n">
        <f aca="false">MAX(0,AR34+N(AR44))</f>
        <v>0</v>
      </c>
      <c r="AS54" s="58" t="n">
        <f aca="false">MAX(0,AS34+N(AS44))</f>
        <v>0</v>
      </c>
      <c r="AT54" s="58" t="n">
        <f aca="false">MAX(0,AT34+N(AT44))</f>
        <v>0</v>
      </c>
      <c r="AU54" s="58" t="n">
        <f aca="false">MAX(0,AU34+N(AU44))</f>
        <v>0</v>
      </c>
      <c r="AV54" s="58" t="n">
        <f aca="false">MAX(0,AV34+N(AV44))</f>
        <v>0</v>
      </c>
      <c r="AW54" s="58" t="n">
        <f aca="false">MAX(0,AW34+N(AW44))</f>
        <v>0</v>
      </c>
      <c r="AX54" s="58" t="n">
        <f aca="false">MAX(0,AX34+N(AX44))</f>
        <v>0</v>
      </c>
      <c r="AY54" s="58" t="n">
        <f aca="false">MAX(0,AY34+N(AY44))</f>
        <v>0</v>
      </c>
      <c r="AZ54" s="58" t="n">
        <f aca="false">MAX(0,AZ34+N(AZ44))</f>
        <v>0</v>
      </c>
      <c r="BA54" s="58" t="n">
        <f aca="false">MAX(0,BA34+N(BA44))</f>
        <v>0</v>
      </c>
      <c r="BB54" s="58" t="n">
        <f aca="false">MAX(0,BB34+N(BB44))</f>
        <v>0</v>
      </c>
      <c r="BC54" s="58" t="n">
        <f aca="false">MAX(0,BC34+N(BC44))</f>
        <v>0</v>
      </c>
      <c r="BD54" s="58" t="n">
        <f aca="false">MAX(0,BD34+N(BD44))</f>
        <v>0</v>
      </c>
      <c r="BE54" s="58" t="n">
        <f aca="false">MAX(0,BE34+N(BE44))</f>
        <v>0</v>
      </c>
      <c r="BF54" s="58" t="n">
        <f aca="false">MAX(0,BF34+N(BF44))</f>
        <v>0</v>
      </c>
      <c r="BG54" s="58" t="n">
        <f aca="false">MAX(0,BG34+N(BG44))</f>
        <v>0</v>
      </c>
      <c r="BH54" s="58" t="n">
        <f aca="false">MAX(0,BH34+N(BH44))</f>
        <v>0</v>
      </c>
      <c r="BI54" s="58" t="n">
        <f aca="false">MAX(0,BI34+N(BI44))</f>
        <v>0</v>
      </c>
      <c r="BJ54" s="58" t="n">
        <f aca="false">MAX(0,BJ34+N(BJ44))</f>
        <v>0</v>
      </c>
      <c r="BK54" s="58" t="n">
        <f aca="false">MAX(0,BK34+N(BK44))</f>
        <v>0</v>
      </c>
      <c r="BL54" s="58" t="n">
        <f aca="false">MAX(0,BL34+N(BL44))</f>
        <v>0</v>
      </c>
      <c r="BM54" s="58" t="n">
        <f aca="false">MAX(0,BM34+N(BM44))</f>
        <v>0</v>
      </c>
      <c r="BN54" s="58" t="n">
        <f aca="false">MAX(0,BN34+N(BN44))</f>
        <v>0</v>
      </c>
      <c r="BO54" s="58" t="n">
        <f aca="false">MAX(0,BO34+N(BO44))</f>
        <v>0</v>
      </c>
      <c r="BP54" s="58" t="n">
        <f aca="false">MAX(0,BP34+N(BP44))</f>
        <v>0</v>
      </c>
      <c r="BQ54" s="58" t="n">
        <f aca="false">MAX(0,BQ34+N(BQ44))</f>
        <v>0</v>
      </c>
      <c r="BR54" s="58" t="n">
        <f aca="false">MAX(0,BR34+N(BR44))</f>
        <v>0</v>
      </c>
      <c r="BS54" s="58" t="n">
        <f aca="false">MAX(0,BS34+N(BS44))</f>
        <v>0</v>
      </c>
      <c r="BT54" s="58" t="n">
        <f aca="false">MAX(0,BT34+N(BT44))</f>
        <v>0</v>
      </c>
      <c r="BU54" s="58" t="n">
        <f aca="false">MAX(0,BU34+N(BU44))</f>
        <v>0</v>
      </c>
      <c r="BV54" s="58" t="n">
        <f aca="false">MAX(0,BV34+N(BV44))</f>
        <v>0</v>
      </c>
      <c r="BW54" s="58" t="n">
        <f aca="false">MAX(0,BW34+N(BW44))</f>
        <v>0</v>
      </c>
      <c r="BX54" s="58" t="n">
        <f aca="false">MAX(0,BX34+N(BX44))</f>
        <v>0</v>
      </c>
      <c r="BY54" s="58" t="n">
        <f aca="false">MAX(0,BY34+N(BY44))</f>
        <v>0</v>
      </c>
      <c r="BZ54" s="58" t="n">
        <f aca="false">MAX(0,BZ34+N(BZ44))</f>
        <v>0</v>
      </c>
      <c r="CA54" s="58" t="n">
        <f aca="false">MAX(0,CA34+N(CA44))</f>
        <v>0</v>
      </c>
      <c r="CB54" s="58" t="n">
        <f aca="false">MAX(0,CB34+N(CB44))</f>
        <v>0</v>
      </c>
      <c r="CC54" s="58" t="n">
        <f aca="false">MAX(0,CC34+N(CC44))</f>
        <v>0</v>
      </c>
      <c r="CD54" s="58" t="n">
        <f aca="false">MAX(0,CD34+N(CD44))</f>
        <v>0</v>
      </c>
      <c r="CE54" s="58" t="n">
        <f aca="false">MAX(0,CE34+N(CE44))</f>
        <v>0</v>
      </c>
      <c r="CF54" s="58" t="n">
        <f aca="false">MAX(0,CF34+N(CF44))</f>
        <v>0</v>
      </c>
      <c r="CG54" s="58" t="n">
        <f aca="false">MAX(0,CG34+N(CG44))</f>
        <v>0</v>
      </c>
      <c r="CH54" s="58" t="n">
        <f aca="false">MAX(0,CH34+N(CH44))</f>
        <v>0</v>
      </c>
      <c r="CI54" s="58" t="n">
        <f aca="false">MAX(0,CI34+N(CI44))</f>
        <v>0</v>
      </c>
      <c r="CJ54" s="58" t="n">
        <f aca="false">MAX(0,CJ34+N(CJ44))</f>
        <v>0</v>
      </c>
      <c r="CK54" s="58" t="n">
        <f aca="false">MAX(0,CK34+N(CK44))</f>
        <v>0</v>
      </c>
      <c r="CL54" s="58" t="n">
        <f aca="false">MAX(0,CL34+N(CL44))</f>
        <v>0</v>
      </c>
      <c r="CM54" s="58" t="n">
        <f aca="false">MAX(0,CM34+N(CM44))</f>
        <v>0</v>
      </c>
      <c r="CN54" s="58" t="n">
        <f aca="false">MAX(0,CN34+N(CN44))</f>
        <v>0</v>
      </c>
      <c r="CO54" s="58" t="n">
        <f aca="false">MAX(0,CO34+N(CO44))</f>
        <v>0</v>
      </c>
      <c r="CP54" s="58" t="n">
        <f aca="false">MAX(0,CP34+N(CP44))</f>
        <v>0</v>
      </c>
      <c r="CQ54" s="58" t="n">
        <f aca="false">MAX(0,CQ34+N(CQ44))</f>
        <v>0</v>
      </c>
      <c r="CR54" s="58" t="n">
        <f aca="false">MAX(0,CR34+N(CR44))</f>
        <v>0</v>
      </c>
      <c r="CS54" s="58" t="n">
        <f aca="false">MAX(0,CS34+N(CS44))</f>
        <v>0</v>
      </c>
      <c r="CT54" s="58" t="n">
        <f aca="false">MAX(0,CT34+N(CT44))</f>
        <v>0</v>
      </c>
      <c r="CU54" s="58" t="n">
        <f aca="false">MAX(0,CU34+N(CU44))</f>
        <v>0</v>
      </c>
      <c r="CV54" s="58" t="n">
        <f aca="false">MAX(0,CV34+N(CV44))</f>
        <v>0</v>
      </c>
      <c r="CW54" s="58" t="n">
        <f aca="false">MAX(0,CW34+N(CW44))</f>
        <v>0</v>
      </c>
      <c r="CX54" s="58" t="n">
        <f aca="false">MAX(0,CX34+N(CX44))</f>
        <v>0</v>
      </c>
      <c r="CY54" s="58" t="n">
        <f aca="false">MAX(0,CY34+N(CY44))</f>
        <v>0</v>
      </c>
      <c r="CZ54" s="58" t="n">
        <f aca="false">MAX(0,CZ34+N(CZ44))</f>
        <v>0</v>
      </c>
      <c r="DA54" s="58" t="n">
        <f aca="false">MAX(0,DA34+N(DA44))</f>
        <v>0</v>
      </c>
      <c r="DB54" s="58" t="n">
        <f aca="false">MAX(0,DB34+N(DB44))</f>
        <v>0</v>
      </c>
      <c r="DC54" s="58" t="n">
        <f aca="false">MAX(0,DC34+N(DC44))</f>
        <v>0</v>
      </c>
      <c r="DD54" s="58" t="n">
        <f aca="false">MAX(0,DD34+N(DD44))</f>
        <v>0</v>
      </c>
      <c r="DE54" s="58" t="n">
        <f aca="false">MAX(0,DE34+N(DE44))</f>
        <v>0</v>
      </c>
    </row>
    <row r="55" customFormat="false" ht="15" hidden="false" customHeight="false" outlineLevel="0" collapsed="false">
      <c r="A55" s="9" t="str">
        <f aca="false">Roles!B8</f>
        <v>Solution architect</v>
      </c>
      <c r="B55" s="2"/>
      <c r="C55" s="2"/>
      <c r="D55" s="22" t="n">
        <f aca="false">SUM(F55:DE55)*HrsWk</f>
        <v>280</v>
      </c>
      <c r="E55" s="9" t="str">
        <f aca="false">A55</f>
        <v>Solution architect</v>
      </c>
      <c r="F55" s="58" t="n">
        <f aca="false">MAX(0,F35+N(F45))</f>
        <v>1</v>
      </c>
      <c r="G55" s="58" t="n">
        <f aca="false">MAX(0,G35+N(G45))</f>
        <v>1</v>
      </c>
      <c r="H55" s="58" t="n">
        <f aca="false">MAX(0,H35+N(H45))</f>
        <v>1</v>
      </c>
      <c r="I55" s="58" t="n">
        <f aca="false">MAX(0,I35+N(I45))</f>
        <v>1.5</v>
      </c>
      <c r="J55" s="58" t="n">
        <f aca="false">MAX(0,J35+N(J45))</f>
        <v>1.5</v>
      </c>
      <c r="K55" s="58" t="n">
        <f aca="false">MAX(0,K35+N(K45))</f>
        <v>1</v>
      </c>
      <c r="L55" s="58" t="n">
        <f aca="false">MAX(0,L35+N(L45))</f>
        <v>0</v>
      </c>
      <c r="M55" s="58" t="n">
        <f aca="false">MAX(0,M35+N(M45))</f>
        <v>0</v>
      </c>
      <c r="N55" s="58" t="n">
        <f aca="false">MAX(0,N35+N(N45))</f>
        <v>0</v>
      </c>
      <c r="O55" s="58" t="n">
        <f aca="false">MAX(0,O35+N(O45))</f>
        <v>0</v>
      </c>
      <c r="P55" s="58" t="n">
        <f aca="false">MAX(0,P35+N(P45))</f>
        <v>0</v>
      </c>
      <c r="Q55" s="58" t="n">
        <f aca="false">MAX(0,Q35+N(Q45))</f>
        <v>0</v>
      </c>
      <c r="R55" s="58" t="n">
        <f aca="false">MAX(0,R35+N(R45))</f>
        <v>0</v>
      </c>
      <c r="S55" s="58" t="n">
        <f aca="false">MAX(0,S35+N(S45))</f>
        <v>0</v>
      </c>
      <c r="T55" s="58" t="n">
        <f aca="false">MAX(0,T35+N(T45))</f>
        <v>0</v>
      </c>
      <c r="U55" s="58" t="n">
        <f aca="false">MAX(0,U35+N(U45))</f>
        <v>0</v>
      </c>
      <c r="V55" s="58" t="n">
        <f aca="false">MAX(0,V35+N(V45))</f>
        <v>0</v>
      </c>
      <c r="W55" s="58" t="n">
        <f aca="false">MAX(0,W35+N(W45))</f>
        <v>0</v>
      </c>
      <c r="X55" s="58" t="n">
        <f aca="false">MAX(0,X35+N(X45))</f>
        <v>0</v>
      </c>
      <c r="Y55" s="58" t="n">
        <f aca="false">MAX(0,Y35+N(Y45))</f>
        <v>0</v>
      </c>
      <c r="Z55" s="58" t="n">
        <f aca="false">MAX(0,Z35+N(Z45))</f>
        <v>0</v>
      </c>
      <c r="AA55" s="58" t="n">
        <f aca="false">MAX(0,AA35+N(AA45))</f>
        <v>0</v>
      </c>
      <c r="AB55" s="58" t="n">
        <f aca="false">MAX(0,AB35+N(AB45))</f>
        <v>0</v>
      </c>
      <c r="AC55" s="58" t="n">
        <f aca="false">MAX(0,AC35+N(AC45))</f>
        <v>0</v>
      </c>
      <c r="AD55" s="58" t="n">
        <f aca="false">MAX(0,AD35+N(AD45))</f>
        <v>0</v>
      </c>
      <c r="AE55" s="58" t="n">
        <f aca="false">MAX(0,AE35+N(AE45))</f>
        <v>0</v>
      </c>
      <c r="AF55" s="58" t="n">
        <f aca="false">MAX(0,AF35+N(AF45))</f>
        <v>0</v>
      </c>
      <c r="AG55" s="58" t="n">
        <f aca="false">MAX(0,AG35+N(AG45))</f>
        <v>0</v>
      </c>
      <c r="AH55" s="58" t="n">
        <f aca="false">MAX(0,AH35+N(AH45))</f>
        <v>0</v>
      </c>
      <c r="AI55" s="58" t="n">
        <f aca="false">MAX(0,AI35+N(AI45))</f>
        <v>0</v>
      </c>
      <c r="AJ55" s="58" t="n">
        <f aca="false">MAX(0,AJ35+N(AJ45))</f>
        <v>0</v>
      </c>
      <c r="AK55" s="58" t="n">
        <f aca="false">MAX(0,AK35+N(AK45))</f>
        <v>0</v>
      </c>
      <c r="AL55" s="58" t="n">
        <f aca="false">MAX(0,AL35+N(AL45))</f>
        <v>0</v>
      </c>
      <c r="AM55" s="58" t="n">
        <f aca="false">MAX(0,AM35+N(AM45))</f>
        <v>0</v>
      </c>
      <c r="AN55" s="58" t="n">
        <f aca="false">MAX(0,AN35+N(AN45))</f>
        <v>0</v>
      </c>
      <c r="AO55" s="58" t="n">
        <f aca="false">MAX(0,AO35+N(AO45))</f>
        <v>0</v>
      </c>
      <c r="AP55" s="58" t="n">
        <f aca="false">MAX(0,AP35+N(AP45))</f>
        <v>0</v>
      </c>
      <c r="AQ55" s="58" t="n">
        <f aca="false">MAX(0,AQ35+N(AQ45))</f>
        <v>0</v>
      </c>
      <c r="AR55" s="58" t="n">
        <f aca="false">MAX(0,AR35+N(AR45))</f>
        <v>0</v>
      </c>
      <c r="AS55" s="58" t="n">
        <f aca="false">MAX(0,AS35+N(AS45))</f>
        <v>0</v>
      </c>
      <c r="AT55" s="58" t="n">
        <f aca="false">MAX(0,AT35+N(AT45))</f>
        <v>0</v>
      </c>
      <c r="AU55" s="58" t="n">
        <f aca="false">MAX(0,AU35+N(AU45))</f>
        <v>0</v>
      </c>
      <c r="AV55" s="58" t="n">
        <f aca="false">MAX(0,AV35+N(AV45))</f>
        <v>0</v>
      </c>
      <c r="AW55" s="58" t="n">
        <f aca="false">MAX(0,AW35+N(AW45))</f>
        <v>0</v>
      </c>
      <c r="AX55" s="58" t="n">
        <f aca="false">MAX(0,AX35+N(AX45))</f>
        <v>0</v>
      </c>
      <c r="AY55" s="58" t="n">
        <f aca="false">MAX(0,AY35+N(AY45))</f>
        <v>0</v>
      </c>
      <c r="AZ55" s="58" t="n">
        <f aca="false">MAX(0,AZ35+N(AZ45))</f>
        <v>0</v>
      </c>
      <c r="BA55" s="58" t="n">
        <f aca="false">MAX(0,BA35+N(BA45))</f>
        <v>0</v>
      </c>
      <c r="BB55" s="58" t="n">
        <f aca="false">MAX(0,BB35+N(BB45))</f>
        <v>0</v>
      </c>
      <c r="BC55" s="58" t="n">
        <f aca="false">MAX(0,BC35+N(BC45))</f>
        <v>0</v>
      </c>
      <c r="BD55" s="58" t="n">
        <f aca="false">MAX(0,BD35+N(BD45))</f>
        <v>0</v>
      </c>
      <c r="BE55" s="58" t="n">
        <f aca="false">MAX(0,BE35+N(BE45))</f>
        <v>0</v>
      </c>
      <c r="BF55" s="58" t="n">
        <f aca="false">MAX(0,BF35+N(BF45))</f>
        <v>0</v>
      </c>
      <c r="BG55" s="58" t="n">
        <f aca="false">MAX(0,BG35+N(BG45))</f>
        <v>0</v>
      </c>
      <c r="BH55" s="58" t="n">
        <f aca="false">MAX(0,BH35+N(BH45))</f>
        <v>0</v>
      </c>
      <c r="BI55" s="58" t="n">
        <f aca="false">MAX(0,BI35+N(BI45))</f>
        <v>0</v>
      </c>
      <c r="BJ55" s="58" t="n">
        <f aca="false">MAX(0,BJ35+N(BJ45))</f>
        <v>0</v>
      </c>
      <c r="BK55" s="58" t="n">
        <f aca="false">MAX(0,BK35+N(BK45))</f>
        <v>0</v>
      </c>
      <c r="BL55" s="58" t="n">
        <f aca="false">MAX(0,BL35+N(BL45))</f>
        <v>0</v>
      </c>
      <c r="BM55" s="58" t="n">
        <f aca="false">MAX(0,BM35+N(BM45))</f>
        <v>0</v>
      </c>
      <c r="BN55" s="58" t="n">
        <f aca="false">MAX(0,BN35+N(BN45))</f>
        <v>0</v>
      </c>
      <c r="BO55" s="58" t="n">
        <f aca="false">MAX(0,BO35+N(BO45))</f>
        <v>0</v>
      </c>
      <c r="BP55" s="58" t="n">
        <f aca="false">MAX(0,BP35+N(BP45))</f>
        <v>0</v>
      </c>
      <c r="BQ55" s="58" t="n">
        <f aca="false">MAX(0,BQ35+N(BQ45))</f>
        <v>0</v>
      </c>
      <c r="BR55" s="58" t="n">
        <f aca="false">MAX(0,BR35+N(BR45))</f>
        <v>0</v>
      </c>
      <c r="BS55" s="58" t="n">
        <f aca="false">MAX(0,BS35+N(BS45))</f>
        <v>0</v>
      </c>
      <c r="BT55" s="58" t="n">
        <f aca="false">MAX(0,BT35+N(BT45))</f>
        <v>0</v>
      </c>
      <c r="BU55" s="58" t="n">
        <f aca="false">MAX(0,BU35+N(BU45))</f>
        <v>0</v>
      </c>
      <c r="BV55" s="58" t="n">
        <f aca="false">MAX(0,BV35+N(BV45))</f>
        <v>0</v>
      </c>
      <c r="BW55" s="58" t="n">
        <f aca="false">MAX(0,BW35+N(BW45))</f>
        <v>0</v>
      </c>
      <c r="BX55" s="58" t="n">
        <f aca="false">MAX(0,BX35+N(BX45))</f>
        <v>0</v>
      </c>
      <c r="BY55" s="58" t="n">
        <f aca="false">MAX(0,BY35+N(BY45))</f>
        <v>0</v>
      </c>
      <c r="BZ55" s="58" t="n">
        <f aca="false">MAX(0,BZ35+N(BZ45))</f>
        <v>0</v>
      </c>
      <c r="CA55" s="58" t="n">
        <f aca="false">MAX(0,CA35+N(CA45))</f>
        <v>0</v>
      </c>
      <c r="CB55" s="58" t="n">
        <f aca="false">MAX(0,CB35+N(CB45))</f>
        <v>0</v>
      </c>
      <c r="CC55" s="58" t="n">
        <f aca="false">MAX(0,CC35+N(CC45))</f>
        <v>0</v>
      </c>
      <c r="CD55" s="58" t="n">
        <f aca="false">MAX(0,CD35+N(CD45))</f>
        <v>0</v>
      </c>
      <c r="CE55" s="58" t="n">
        <f aca="false">MAX(0,CE35+N(CE45))</f>
        <v>0</v>
      </c>
      <c r="CF55" s="58" t="n">
        <f aca="false">MAX(0,CF35+N(CF45))</f>
        <v>0</v>
      </c>
      <c r="CG55" s="58" t="n">
        <f aca="false">MAX(0,CG35+N(CG45))</f>
        <v>0</v>
      </c>
      <c r="CH55" s="58" t="n">
        <f aca="false">MAX(0,CH35+N(CH45))</f>
        <v>0</v>
      </c>
      <c r="CI55" s="58" t="n">
        <f aca="false">MAX(0,CI35+N(CI45))</f>
        <v>0</v>
      </c>
      <c r="CJ55" s="58" t="n">
        <f aca="false">MAX(0,CJ35+N(CJ45))</f>
        <v>0</v>
      </c>
      <c r="CK55" s="58" t="n">
        <f aca="false">MAX(0,CK35+N(CK45))</f>
        <v>0</v>
      </c>
      <c r="CL55" s="58" t="n">
        <f aca="false">MAX(0,CL35+N(CL45))</f>
        <v>0</v>
      </c>
      <c r="CM55" s="58" t="n">
        <f aca="false">MAX(0,CM35+N(CM45))</f>
        <v>0</v>
      </c>
      <c r="CN55" s="58" t="n">
        <f aca="false">MAX(0,CN35+N(CN45))</f>
        <v>0</v>
      </c>
      <c r="CO55" s="58" t="n">
        <f aca="false">MAX(0,CO35+N(CO45))</f>
        <v>0</v>
      </c>
      <c r="CP55" s="58" t="n">
        <f aca="false">MAX(0,CP35+N(CP45))</f>
        <v>0</v>
      </c>
      <c r="CQ55" s="58" t="n">
        <f aca="false">MAX(0,CQ35+N(CQ45))</f>
        <v>0</v>
      </c>
      <c r="CR55" s="58" t="n">
        <f aca="false">MAX(0,CR35+N(CR45))</f>
        <v>0</v>
      </c>
      <c r="CS55" s="58" t="n">
        <f aca="false">MAX(0,CS35+N(CS45))</f>
        <v>0</v>
      </c>
      <c r="CT55" s="58" t="n">
        <f aca="false">MAX(0,CT35+N(CT45))</f>
        <v>0</v>
      </c>
      <c r="CU55" s="58" t="n">
        <f aca="false">MAX(0,CU35+N(CU45))</f>
        <v>0</v>
      </c>
      <c r="CV55" s="58" t="n">
        <f aca="false">MAX(0,CV35+N(CV45))</f>
        <v>0</v>
      </c>
      <c r="CW55" s="58" t="n">
        <f aca="false">MAX(0,CW35+N(CW45))</f>
        <v>0</v>
      </c>
      <c r="CX55" s="58" t="n">
        <f aca="false">MAX(0,CX35+N(CX45))</f>
        <v>0</v>
      </c>
      <c r="CY55" s="58" t="n">
        <f aca="false">MAX(0,CY35+N(CY45))</f>
        <v>0</v>
      </c>
      <c r="CZ55" s="58" t="n">
        <f aca="false">MAX(0,CZ35+N(CZ45))</f>
        <v>0</v>
      </c>
      <c r="DA55" s="58" t="n">
        <f aca="false">MAX(0,DA35+N(DA45))</f>
        <v>0</v>
      </c>
      <c r="DB55" s="58" t="n">
        <f aca="false">MAX(0,DB35+N(DB45))</f>
        <v>0</v>
      </c>
      <c r="DC55" s="58" t="n">
        <f aca="false">MAX(0,DC35+N(DC45))</f>
        <v>0</v>
      </c>
      <c r="DD55" s="58" t="n">
        <f aca="false">MAX(0,DD35+N(DD45))</f>
        <v>0</v>
      </c>
      <c r="DE55" s="58" t="n">
        <f aca="false">MAX(0,DE35+N(DE45))</f>
        <v>0</v>
      </c>
    </row>
    <row r="56" customFormat="false" ht="15" hidden="false" customHeight="false" outlineLevel="0" collapsed="false">
      <c r="A56" s="9" t="str">
        <f aca="false">Roles!B9</f>
        <v>BI architect</v>
      </c>
      <c r="B56" s="2"/>
      <c r="C56" s="2"/>
      <c r="D56" s="22" t="n">
        <f aca="false">SUM(F56:DE56)*HrsWk</f>
        <v>720</v>
      </c>
      <c r="E56" s="9" t="str">
        <f aca="false">A56</f>
        <v>BI architect</v>
      </c>
      <c r="F56" s="58" t="n">
        <f aca="false">MAX(0,F36+N(F46))</f>
        <v>1</v>
      </c>
      <c r="G56" s="58" t="n">
        <f aca="false">MAX(0,G36+N(G46))</f>
        <v>1</v>
      </c>
      <c r="H56" s="58" t="n">
        <f aca="false">MAX(0,H36+N(H46))</f>
        <v>1</v>
      </c>
      <c r="I56" s="58" t="n">
        <f aca="false">MAX(0,I36+N(I46))</f>
        <v>1.5</v>
      </c>
      <c r="J56" s="58" t="n">
        <f aca="false">MAX(0,J36+N(J46))</f>
        <v>1.5</v>
      </c>
      <c r="K56" s="58" t="n">
        <f aca="false">MAX(0,K36+N(K46))</f>
        <v>1</v>
      </c>
      <c r="L56" s="58" t="n">
        <f aca="false">MAX(0,L36+N(L46))</f>
        <v>0.5</v>
      </c>
      <c r="M56" s="58" t="n">
        <f aca="false">MAX(0,M36+N(M46))</f>
        <v>0.5</v>
      </c>
      <c r="N56" s="58" t="n">
        <f aca="false">MAX(0,N36+N(N46))</f>
        <v>1</v>
      </c>
      <c r="O56" s="58" t="n">
        <f aca="false">MAX(0,O36+N(O46))</f>
        <v>1</v>
      </c>
      <c r="P56" s="58" t="n">
        <f aca="false">MAX(0,P36+N(P46))</f>
        <v>1</v>
      </c>
      <c r="Q56" s="58" t="n">
        <f aca="false">MAX(0,Q36+N(Q46))</f>
        <v>1</v>
      </c>
      <c r="R56" s="58" t="n">
        <f aca="false">MAX(0,R36+N(R46))</f>
        <v>1</v>
      </c>
      <c r="S56" s="58" t="n">
        <f aca="false">MAX(0,S36+N(S46))</f>
        <v>1</v>
      </c>
      <c r="T56" s="58" t="n">
        <f aca="false">MAX(0,T36+N(T46))</f>
        <v>1</v>
      </c>
      <c r="U56" s="58" t="n">
        <f aca="false">MAX(0,U36+N(U46))</f>
        <v>1</v>
      </c>
      <c r="V56" s="58" t="n">
        <f aca="false">MAX(0,V36+N(V46))</f>
        <v>1</v>
      </c>
      <c r="W56" s="58" t="n">
        <f aca="false">MAX(0,W36+N(W46))</f>
        <v>1</v>
      </c>
      <c r="X56" s="58" t="n">
        <f aca="false">MAX(0,X36+N(X46))</f>
        <v>0</v>
      </c>
      <c r="Y56" s="58" t="n">
        <f aca="false">MAX(0,Y36+N(Y46))</f>
        <v>0</v>
      </c>
      <c r="Z56" s="58" t="n">
        <f aca="false">MAX(0,Z36+N(Z46))</f>
        <v>0</v>
      </c>
      <c r="AA56" s="58" t="n">
        <f aca="false">MAX(0,AA36+N(AA46))</f>
        <v>0</v>
      </c>
      <c r="AB56" s="58" t="n">
        <f aca="false">MAX(0,AB36+N(AB46))</f>
        <v>0</v>
      </c>
      <c r="AC56" s="58" t="n">
        <f aca="false">MAX(0,AC36+N(AC46))</f>
        <v>0</v>
      </c>
      <c r="AD56" s="58" t="n">
        <f aca="false">MAX(0,AD36+N(AD46))</f>
        <v>0</v>
      </c>
      <c r="AE56" s="58" t="n">
        <f aca="false">MAX(0,AE36+N(AE46))</f>
        <v>0</v>
      </c>
      <c r="AF56" s="58" t="n">
        <f aca="false">MAX(0,AF36+N(AF46))</f>
        <v>0</v>
      </c>
      <c r="AG56" s="58" t="n">
        <f aca="false">MAX(0,AG36+N(AG46))</f>
        <v>0</v>
      </c>
      <c r="AH56" s="58" t="n">
        <f aca="false">MAX(0,AH36+N(AH46))</f>
        <v>0</v>
      </c>
      <c r="AI56" s="58" t="n">
        <f aca="false">MAX(0,AI36+N(AI46))</f>
        <v>0</v>
      </c>
      <c r="AJ56" s="58" t="n">
        <f aca="false">MAX(0,AJ36+N(AJ46))</f>
        <v>0</v>
      </c>
      <c r="AK56" s="58" t="n">
        <f aca="false">MAX(0,AK36+N(AK46))</f>
        <v>0</v>
      </c>
      <c r="AL56" s="58" t="n">
        <f aca="false">MAX(0,AL36+N(AL46))</f>
        <v>0</v>
      </c>
      <c r="AM56" s="58" t="n">
        <f aca="false">MAX(0,AM36+N(AM46))</f>
        <v>0</v>
      </c>
      <c r="AN56" s="58" t="n">
        <f aca="false">MAX(0,AN36+N(AN46))</f>
        <v>0</v>
      </c>
      <c r="AO56" s="58" t="n">
        <f aca="false">MAX(0,AO36+N(AO46))</f>
        <v>0</v>
      </c>
      <c r="AP56" s="58" t="n">
        <f aca="false">MAX(0,AP36+N(AP46))</f>
        <v>0</v>
      </c>
      <c r="AQ56" s="58" t="n">
        <f aca="false">MAX(0,AQ36+N(AQ46))</f>
        <v>0</v>
      </c>
      <c r="AR56" s="58" t="n">
        <f aca="false">MAX(0,AR36+N(AR46))</f>
        <v>0</v>
      </c>
      <c r="AS56" s="58" t="n">
        <f aca="false">MAX(0,AS36+N(AS46))</f>
        <v>0</v>
      </c>
      <c r="AT56" s="58" t="n">
        <f aca="false">MAX(0,AT36+N(AT46))</f>
        <v>0</v>
      </c>
      <c r="AU56" s="58" t="n">
        <f aca="false">MAX(0,AU36+N(AU46))</f>
        <v>0</v>
      </c>
      <c r="AV56" s="58" t="n">
        <f aca="false">MAX(0,AV36+N(AV46))</f>
        <v>0</v>
      </c>
      <c r="AW56" s="58" t="n">
        <f aca="false">MAX(0,AW36+N(AW46))</f>
        <v>0</v>
      </c>
      <c r="AX56" s="58" t="n">
        <f aca="false">MAX(0,AX36+N(AX46))</f>
        <v>0</v>
      </c>
      <c r="AY56" s="58" t="n">
        <f aca="false">MAX(0,AY36+N(AY46))</f>
        <v>0</v>
      </c>
      <c r="AZ56" s="58" t="n">
        <f aca="false">MAX(0,AZ36+N(AZ46))</f>
        <v>0</v>
      </c>
      <c r="BA56" s="58" t="n">
        <f aca="false">MAX(0,BA36+N(BA46))</f>
        <v>0</v>
      </c>
      <c r="BB56" s="58" t="n">
        <f aca="false">MAX(0,BB36+N(BB46))</f>
        <v>0</v>
      </c>
      <c r="BC56" s="58" t="n">
        <f aca="false">MAX(0,BC36+N(BC46))</f>
        <v>0</v>
      </c>
      <c r="BD56" s="58" t="n">
        <f aca="false">MAX(0,BD36+N(BD46))</f>
        <v>0</v>
      </c>
      <c r="BE56" s="58" t="n">
        <f aca="false">MAX(0,BE36+N(BE46))</f>
        <v>0</v>
      </c>
      <c r="BF56" s="58" t="n">
        <f aca="false">MAX(0,BF36+N(BF46))</f>
        <v>0</v>
      </c>
      <c r="BG56" s="58" t="n">
        <f aca="false">MAX(0,BG36+N(BG46))</f>
        <v>0</v>
      </c>
      <c r="BH56" s="58" t="n">
        <f aca="false">MAX(0,BH36+N(BH46))</f>
        <v>0</v>
      </c>
      <c r="BI56" s="58" t="n">
        <f aca="false">MAX(0,BI36+N(BI46))</f>
        <v>0</v>
      </c>
      <c r="BJ56" s="58" t="n">
        <f aca="false">MAX(0,BJ36+N(BJ46))</f>
        <v>0</v>
      </c>
      <c r="BK56" s="58" t="n">
        <f aca="false">MAX(0,BK36+N(BK46))</f>
        <v>0</v>
      </c>
      <c r="BL56" s="58" t="n">
        <f aca="false">MAX(0,BL36+N(BL46))</f>
        <v>0</v>
      </c>
      <c r="BM56" s="58" t="n">
        <f aca="false">MAX(0,BM36+N(BM46))</f>
        <v>0</v>
      </c>
      <c r="BN56" s="58" t="n">
        <f aca="false">MAX(0,BN36+N(BN46))</f>
        <v>0</v>
      </c>
      <c r="BO56" s="58" t="n">
        <f aca="false">MAX(0,BO36+N(BO46))</f>
        <v>0</v>
      </c>
      <c r="BP56" s="58" t="n">
        <f aca="false">MAX(0,BP36+N(BP46))</f>
        <v>0</v>
      </c>
      <c r="BQ56" s="58" t="n">
        <f aca="false">MAX(0,BQ36+N(BQ46))</f>
        <v>0</v>
      </c>
      <c r="BR56" s="58" t="n">
        <f aca="false">MAX(0,BR36+N(BR46))</f>
        <v>0</v>
      </c>
      <c r="BS56" s="58" t="n">
        <f aca="false">MAX(0,BS36+N(BS46))</f>
        <v>0</v>
      </c>
      <c r="BT56" s="58" t="n">
        <f aca="false">MAX(0,BT36+N(BT46))</f>
        <v>0</v>
      </c>
      <c r="BU56" s="58" t="n">
        <f aca="false">MAX(0,BU36+N(BU46))</f>
        <v>0</v>
      </c>
      <c r="BV56" s="58" t="n">
        <f aca="false">MAX(0,BV36+N(BV46))</f>
        <v>0</v>
      </c>
      <c r="BW56" s="58" t="n">
        <f aca="false">MAX(0,BW36+N(BW46))</f>
        <v>0</v>
      </c>
      <c r="BX56" s="58" t="n">
        <f aca="false">MAX(0,BX36+N(BX46))</f>
        <v>0</v>
      </c>
      <c r="BY56" s="58" t="n">
        <f aca="false">MAX(0,BY36+N(BY46))</f>
        <v>0</v>
      </c>
      <c r="BZ56" s="58" t="n">
        <f aca="false">MAX(0,BZ36+N(BZ46))</f>
        <v>0</v>
      </c>
      <c r="CA56" s="58" t="n">
        <f aca="false">MAX(0,CA36+N(CA46))</f>
        <v>0</v>
      </c>
      <c r="CB56" s="58" t="n">
        <f aca="false">MAX(0,CB36+N(CB46))</f>
        <v>0</v>
      </c>
      <c r="CC56" s="58" t="n">
        <f aca="false">MAX(0,CC36+N(CC46))</f>
        <v>0</v>
      </c>
      <c r="CD56" s="58" t="n">
        <f aca="false">MAX(0,CD36+N(CD46))</f>
        <v>0</v>
      </c>
      <c r="CE56" s="58" t="n">
        <f aca="false">MAX(0,CE36+N(CE46))</f>
        <v>0</v>
      </c>
      <c r="CF56" s="58" t="n">
        <f aca="false">MAX(0,CF36+N(CF46))</f>
        <v>0</v>
      </c>
      <c r="CG56" s="58" t="n">
        <f aca="false">MAX(0,CG36+N(CG46))</f>
        <v>0</v>
      </c>
      <c r="CH56" s="58" t="n">
        <f aca="false">MAX(0,CH36+N(CH46))</f>
        <v>0</v>
      </c>
      <c r="CI56" s="58" t="n">
        <f aca="false">MAX(0,CI36+N(CI46))</f>
        <v>0</v>
      </c>
      <c r="CJ56" s="58" t="n">
        <f aca="false">MAX(0,CJ36+N(CJ46))</f>
        <v>0</v>
      </c>
      <c r="CK56" s="58" t="n">
        <f aca="false">MAX(0,CK36+N(CK46))</f>
        <v>0</v>
      </c>
      <c r="CL56" s="58" t="n">
        <f aca="false">MAX(0,CL36+N(CL46))</f>
        <v>0</v>
      </c>
      <c r="CM56" s="58" t="n">
        <f aca="false">MAX(0,CM36+N(CM46))</f>
        <v>0</v>
      </c>
      <c r="CN56" s="58" t="n">
        <f aca="false">MAX(0,CN36+N(CN46))</f>
        <v>0</v>
      </c>
      <c r="CO56" s="58" t="n">
        <f aca="false">MAX(0,CO36+N(CO46))</f>
        <v>0</v>
      </c>
      <c r="CP56" s="58" t="n">
        <f aca="false">MAX(0,CP36+N(CP46))</f>
        <v>0</v>
      </c>
      <c r="CQ56" s="58" t="n">
        <f aca="false">MAX(0,CQ36+N(CQ46))</f>
        <v>0</v>
      </c>
      <c r="CR56" s="58" t="n">
        <f aca="false">MAX(0,CR36+N(CR46))</f>
        <v>0</v>
      </c>
      <c r="CS56" s="58" t="n">
        <f aca="false">MAX(0,CS36+N(CS46))</f>
        <v>0</v>
      </c>
      <c r="CT56" s="58" t="n">
        <f aca="false">MAX(0,CT36+N(CT46))</f>
        <v>0</v>
      </c>
      <c r="CU56" s="58" t="n">
        <f aca="false">MAX(0,CU36+N(CU46))</f>
        <v>0</v>
      </c>
      <c r="CV56" s="58" t="n">
        <f aca="false">MAX(0,CV36+N(CV46))</f>
        <v>0</v>
      </c>
      <c r="CW56" s="58" t="n">
        <f aca="false">MAX(0,CW36+N(CW46))</f>
        <v>0</v>
      </c>
      <c r="CX56" s="58" t="n">
        <f aca="false">MAX(0,CX36+N(CX46))</f>
        <v>0</v>
      </c>
      <c r="CY56" s="58" t="n">
        <f aca="false">MAX(0,CY36+N(CY46))</f>
        <v>0</v>
      </c>
      <c r="CZ56" s="58" t="n">
        <f aca="false">MAX(0,CZ36+N(CZ46))</f>
        <v>0</v>
      </c>
      <c r="DA56" s="58" t="n">
        <f aca="false">MAX(0,DA36+N(DA46))</f>
        <v>0</v>
      </c>
      <c r="DB56" s="58" t="n">
        <f aca="false">MAX(0,DB36+N(DB46))</f>
        <v>0</v>
      </c>
      <c r="DC56" s="58" t="n">
        <f aca="false">MAX(0,DC36+N(DC46))</f>
        <v>0</v>
      </c>
      <c r="DD56" s="58" t="n">
        <f aca="false">MAX(0,DD36+N(DD46))</f>
        <v>0</v>
      </c>
      <c r="DE56" s="58" t="n">
        <f aca="false">MAX(0,DE36+N(DE46))</f>
        <v>0</v>
      </c>
    </row>
    <row r="57" customFormat="false" ht="15" hidden="false" customHeight="false" outlineLevel="0" collapsed="false">
      <c r="A57" s="9" t="str">
        <f aca="false">Roles!B10</f>
        <v>Lead</v>
      </c>
      <c r="B57" s="2"/>
      <c r="C57" s="2"/>
      <c r="D57" s="22" t="n">
        <f aca="false">SUM(F57:DE57)*HrsWk</f>
        <v>1600</v>
      </c>
      <c r="E57" s="9" t="str">
        <f aca="false">A57</f>
        <v>Lead</v>
      </c>
      <c r="F57" s="58" t="n">
        <f aca="false">MAX(0,F37+N(F47))</f>
        <v>0.5</v>
      </c>
      <c r="G57" s="58" t="n">
        <f aca="false">MAX(0,G37+N(G47))</f>
        <v>0.5</v>
      </c>
      <c r="H57" s="58" t="n">
        <f aca="false">MAX(0,H37+N(H47))</f>
        <v>0.5</v>
      </c>
      <c r="I57" s="58" t="n">
        <f aca="false">MAX(0,I37+N(I47))</f>
        <v>0.5</v>
      </c>
      <c r="J57" s="58" t="n">
        <f aca="false">MAX(0,J37+N(J47))</f>
        <v>0.5</v>
      </c>
      <c r="K57" s="58" t="n">
        <f aca="false">MAX(0,K37+N(K47))</f>
        <v>0.5</v>
      </c>
      <c r="L57" s="58" t="n">
        <f aca="false">MAX(0,L37+N(L47))</f>
        <v>0.5</v>
      </c>
      <c r="M57" s="58" t="n">
        <f aca="false">MAX(0,M37+N(M47))</f>
        <v>0.5</v>
      </c>
      <c r="N57" s="58" t="n">
        <f aca="false">MAX(0,N37+N(N47))</f>
        <v>1</v>
      </c>
      <c r="O57" s="58" t="n">
        <f aca="false">MAX(0,O37+N(O47))</f>
        <v>1.5</v>
      </c>
      <c r="P57" s="58" t="n">
        <f aca="false">MAX(0,P37+N(P47))</f>
        <v>1.5</v>
      </c>
      <c r="Q57" s="58" t="n">
        <f aca="false">MAX(0,Q37+N(Q47))</f>
        <v>2</v>
      </c>
      <c r="R57" s="58" t="n">
        <f aca="false">MAX(0,R37+N(R47))</f>
        <v>2</v>
      </c>
      <c r="S57" s="58" t="n">
        <f aca="false">MAX(0,S37+N(S47))</f>
        <v>2</v>
      </c>
      <c r="T57" s="58" t="n">
        <f aca="false">MAX(0,T37+N(T47))</f>
        <v>2</v>
      </c>
      <c r="U57" s="58" t="n">
        <f aca="false">MAX(0,U37+N(U47))</f>
        <v>2</v>
      </c>
      <c r="V57" s="58" t="n">
        <f aca="false">MAX(0,V37+N(V47))</f>
        <v>2</v>
      </c>
      <c r="W57" s="58" t="n">
        <f aca="false">MAX(0,W37+N(W47))</f>
        <v>2</v>
      </c>
      <c r="X57" s="58" t="n">
        <f aca="false">MAX(0,X37+N(X47))</f>
        <v>1.5</v>
      </c>
      <c r="Y57" s="58" t="n">
        <f aca="false">MAX(0,Y37+N(Y47))</f>
        <v>1.5</v>
      </c>
      <c r="Z57" s="58" t="n">
        <f aca="false">MAX(0,Z37+N(Z47))</f>
        <v>1.5</v>
      </c>
      <c r="AA57" s="58" t="n">
        <f aca="false">MAX(0,AA37+N(AA47))</f>
        <v>1.5</v>
      </c>
      <c r="AB57" s="58" t="n">
        <f aca="false">MAX(0,AB37+N(AB47))</f>
        <v>1.5</v>
      </c>
      <c r="AC57" s="58" t="n">
        <f aca="false">MAX(0,AC37+N(AC47))</f>
        <v>1.5</v>
      </c>
      <c r="AD57" s="58" t="n">
        <f aca="false">MAX(0,AD37+N(AD47))</f>
        <v>1.5</v>
      </c>
      <c r="AE57" s="58" t="n">
        <f aca="false">MAX(0,AE37+N(AE47))</f>
        <v>1</v>
      </c>
      <c r="AF57" s="58" t="n">
        <f aca="false">MAX(0,AF37+N(AF47))</f>
        <v>1</v>
      </c>
      <c r="AG57" s="58" t="n">
        <f aca="false">MAX(0,AG37+N(AG47))</f>
        <v>1</v>
      </c>
      <c r="AH57" s="58" t="n">
        <f aca="false">MAX(0,AH37+N(AH47))</f>
        <v>1</v>
      </c>
      <c r="AI57" s="58" t="n">
        <f aca="false">MAX(0,AI37+N(AI47))</f>
        <v>1</v>
      </c>
      <c r="AJ57" s="58" t="n">
        <f aca="false">MAX(0,AJ37+N(AJ47))</f>
        <v>1</v>
      </c>
      <c r="AK57" s="58" t="n">
        <f aca="false">MAX(0,AK37+N(AK47))</f>
        <v>0.5</v>
      </c>
      <c r="AL57" s="58" t="n">
        <f aca="false">MAX(0,AL37+N(AL47))</f>
        <v>0.5</v>
      </c>
      <c r="AM57" s="58" t="n">
        <f aca="false">MAX(0,AM37+N(AM47))</f>
        <v>0.5</v>
      </c>
      <c r="AN57" s="58" t="n">
        <f aca="false">MAX(0,AN37+N(AN47))</f>
        <v>0</v>
      </c>
      <c r="AO57" s="58" t="n">
        <f aca="false">MAX(0,AO37+N(AO47))</f>
        <v>0</v>
      </c>
      <c r="AP57" s="58" t="n">
        <f aca="false">MAX(0,AP37+N(AP47))</f>
        <v>0</v>
      </c>
      <c r="AQ57" s="58" t="n">
        <f aca="false">MAX(0,AQ37+N(AQ47))</f>
        <v>0</v>
      </c>
      <c r="AR57" s="58" t="n">
        <f aca="false">MAX(0,AR37+N(AR47))</f>
        <v>0</v>
      </c>
      <c r="AS57" s="58" t="n">
        <f aca="false">MAX(0,AS37+N(AS47))</f>
        <v>0</v>
      </c>
      <c r="AT57" s="58" t="n">
        <f aca="false">MAX(0,AT37+N(AT47))</f>
        <v>0</v>
      </c>
      <c r="AU57" s="58" t="n">
        <f aca="false">MAX(0,AU37+N(AU47))</f>
        <v>0</v>
      </c>
      <c r="AV57" s="58" t="n">
        <f aca="false">MAX(0,AV37+N(AV47))</f>
        <v>0</v>
      </c>
      <c r="AW57" s="58" t="n">
        <f aca="false">MAX(0,AW37+N(AW47))</f>
        <v>0</v>
      </c>
      <c r="AX57" s="58" t="n">
        <f aca="false">MAX(0,AX37+N(AX47))</f>
        <v>0</v>
      </c>
      <c r="AY57" s="58" t="n">
        <f aca="false">MAX(0,AY37+N(AY47))</f>
        <v>0</v>
      </c>
      <c r="AZ57" s="58" t="n">
        <f aca="false">MAX(0,AZ37+N(AZ47))</f>
        <v>0</v>
      </c>
      <c r="BA57" s="58" t="n">
        <f aca="false">MAX(0,BA37+N(BA47))</f>
        <v>0</v>
      </c>
      <c r="BB57" s="58" t="n">
        <f aca="false">MAX(0,BB37+N(BB47))</f>
        <v>0</v>
      </c>
      <c r="BC57" s="58" t="n">
        <f aca="false">MAX(0,BC37+N(BC47))</f>
        <v>0</v>
      </c>
      <c r="BD57" s="58" t="n">
        <f aca="false">MAX(0,BD37+N(BD47))</f>
        <v>0</v>
      </c>
      <c r="BE57" s="58" t="n">
        <f aca="false">MAX(0,BE37+N(BE47))</f>
        <v>0</v>
      </c>
      <c r="BF57" s="58" t="n">
        <f aca="false">MAX(0,BF37+N(BF47))</f>
        <v>0</v>
      </c>
      <c r="BG57" s="58" t="n">
        <f aca="false">MAX(0,BG37+N(BG47))</f>
        <v>0</v>
      </c>
      <c r="BH57" s="58" t="n">
        <f aca="false">MAX(0,BH37+N(BH47))</f>
        <v>0</v>
      </c>
      <c r="BI57" s="58" t="n">
        <f aca="false">MAX(0,BI37+N(BI47))</f>
        <v>0</v>
      </c>
      <c r="BJ57" s="58" t="n">
        <f aca="false">MAX(0,BJ37+N(BJ47))</f>
        <v>0</v>
      </c>
      <c r="BK57" s="58" t="n">
        <f aca="false">MAX(0,BK37+N(BK47))</f>
        <v>0</v>
      </c>
      <c r="BL57" s="58" t="n">
        <f aca="false">MAX(0,BL37+N(BL47))</f>
        <v>0</v>
      </c>
      <c r="BM57" s="58" t="n">
        <f aca="false">MAX(0,BM37+N(BM47))</f>
        <v>0</v>
      </c>
      <c r="BN57" s="58" t="n">
        <f aca="false">MAX(0,BN37+N(BN47))</f>
        <v>0</v>
      </c>
      <c r="BO57" s="58" t="n">
        <f aca="false">MAX(0,BO37+N(BO47))</f>
        <v>0</v>
      </c>
      <c r="BP57" s="58" t="n">
        <f aca="false">MAX(0,BP37+N(BP47))</f>
        <v>0</v>
      </c>
      <c r="BQ57" s="58" t="n">
        <f aca="false">MAX(0,BQ37+N(BQ47))</f>
        <v>0</v>
      </c>
      <c r="BR57" s="58" t="n">
        <f aca="false">MAX(0,BR37+N(BR47))</f>
        <v>0</v>
      </c>
      <c r="BS57" s="58" t="n">
        <f aca="false">MAX(0,BS37+N(BS47))</f>
        <v>0</v>
      </c>
      <c r="BT57" s="58" t="n">
        <f aca="false">MAX(0,BT37+N(BT47))</f>
        <v>0</v>
      </c>
      <c r="BU57" s="58" t="n">
        <f aca="false">MAX(0,BU37+N(BU47))</f>
        <v>0</v>
      </c>
      <c r="BV57" s="58" t="n">
        <f aca="false">MAX(0,BV37+N(BV47))</f>
        <v>0</v>
      </c>
      <c r="BW57" s="58" t="n">
        <f aca="false">MAX(0,BW37+N(BW47))</f>
        <v>0</v>
      </c>
      <c r="BX57" s="58" t="n">
        <f aca="false">MAX(0,BX37+N(BX47))</f>
        <v>0</v>
      </c>
      <c r="BY57" s="58" t="n">
        <f aca="false">MAX(0,BY37+N(BY47))</f>
        <v>0</v>
      </c>
      <c r="BZ57" s="58" t="n">
        <f aca="false">MAX(0,BZ37+N(BZ47))</f>
        <v>0</v>
      </c>
      <c r="CA57" s="58" t="n">
        <f aca="false">MAX(0,CA37+N(CA47))</f>
        <v>0</v>
      </c>
      <c r="CB57" s="58" t="n">
        <f aca="false">MAX(0,CB37+N(CB47))</f>
        <v>0</v>
      </c>
      <c r="CC57" s="58" t="n">
        <f aca="false">MAX(0,CC37+N(CC47))</f>
        <v>0</v>
      </c>
      <c r="CD57" s="58" t="n">
        <f aca="false">MAX(0,CD37+N(CD47))</f>
        <v>0</v>
      </c>
      <c r="CE57" s="58" t="n">
        <f aca="false">MAX(0,CE37+N(CE47))</f>
        <v>0</v>
      </c>
      <c r="CF57" s="58" t="n">
        <f aca="false">MAX(0,CF37+N(CF47))</f>
        <v>0</v>
      </c>
      <c r="CG57" s="58" t="n">
        <f aca="false">MAX(0,CG37+N(CG47))</f>
        <v>0</v>
      </c>
      <c r="CH57" s="58" t="n">
        <f aca="false">MAX(0,CH37+N(CH47))</f>
        <v>0</v>
      </c>
      <c r="CI57" s="58" t="n">
        <f aca="false">MAX(0,CI37+N(CI47))</f>
        <v>0</v>
      </c>
      <c r="CJ57" s="58" t="n">
        <f aca="false">MAX(0,CJ37+N(CJ47))</f>
        <v>0</v>
      </c>
      <c r="CK57" s="58" t="n">
        <f aca="false">MAX(0,CK37+N(CK47))</f>
        <v>0</v>
      </c>
      <c r="CL57" s="58" t="n">
        <f aca="false">MAX(0,CL37+N(CL47))</f>
        <v>0</v>
      </c>
      <c r="CM57" s="58" t="n">
        <f aca="false">MAX(0,CM37+N(CM47))</f>
        <v>0</v>
      </c>
      <c r="CN57" s="58" t="n">
        <f aca="false">MAX(0,CN37+N(CN47))</f>
        <v>0</v>
      </c>
      <c r="CO57" s="58" t="n">
        <f aca="false">MAX(0,CO37+N(CO47))</f>
        <v>0</v>
      </c>
      <c r="CP57" s="58" t="n">
        <f aca="false">MAX(0,CP37+N(CP47))</f>
        <v>0</v>
      </c>
      <c r="CQ57" s="58" t="n">
        <f aca="false">MAX(0,CQ37+N(CQ47))</f>
        <v>0</v>
      </c>
      <c r="CR57" s="58" t="n">
        <f aca="false">MAX(0,CR37+N(CR47))</f>
        <v>0</v>
      </c>
      <c r="CS57" s="58" t="n">
        <f aca="false">MAX(0,CS37+N(CS47))</f>
        <v>0</v>
      </c>
      <c r="CT57" s="58" t="n">
        <f aca="false">MAX(0,CT37+N(CT47))</f>
        <v>0</v>
      </c>
      <c r="CU57" s="58" t="n">
        <f aca="false">MAX(0,CU37+N(CU47))</f>
        <v>0</v>
      </c>
      <c r="CV57" s="58" t="n">
        <f aca="false">MAX(0,CV37+N(CV47))</f>
        <v>0</v>
      </c>
      <c r="CW57" s="58" t="n">
        <f aca="false">MAX(0,CW37+N(CW47))</f>
        <v>0</v>
      </c>
      <c r="CX57" s="58" t="n">
        <f aca="false">MAX(0,CX37+N(CX47))</f>
        <v>0</v>
      </c>
      <c r="CY57" s="58" t="n">
        <f aca="false">MAX(0,CY37+N(CY47))</f>
        <v>0</v>
      </c>
      <c r="CZ57" s="58" t="n">
        <f aca="false">MAX(0,CZ37+N(CZ47))</f>
        <v>0</v>
      </c>
      <c r="DA57" s="58" t="n">
        <f aca="false">MAX(0,DA37+N(DA47))</f>
        <v>0</v>
      </c>
      <c r="DB57" s="58" t="n">
        <f aca="false">MAX(0,DB37+N(DB47))</f>
        <v>0</v>
      </c>
      <c r="DC57" s="58" t="n">
        <f aca="false">MAX(0,DC37+N(DC47))</f>
        <v>0</v>
      </c>
      <c r="DD57" s="58" t="n">
        <f aca="false">MAX(0,DD37+N(DD47))</f>
        <v>0</v>
      </c>
      <c r="DE57" s="58" t="n">
        <f aca="false">MAX(0,DE37+N(DE47))</f>
        <v>0</v>
      </c>
    </row>
    <row r="58" customFormat="false" ht="15" hidden="false" customHeight="false" outlineLevel="0" collapsed="false">
      <c r="A58" s="9" t="str">
        <f aca="false">Roles!B11</f>
        <v>Sr. engineer</v>
      </c>
      <c r="B58" s="2"/>
      <c r="C58" s="2"/>
      <c r="D58" s="22" t="n">
        <f aca="false">SUM(F58:DE58)*HrsWk</f>
        <v>3920</v>
      </c>
      <c r="E58" s="9" t="str">
        <f aca="false">A58</f>
        <v>Sr. engineer</v>
      </c>
      <c r="F58" s="58" t="n">
        <f aca="false">MAX(0,F38+N(F48))</f>
        <v>0</v>
      </c>
      <c r="G58" s="58" t="n">
        <f aca="false">MAX(0,G38+N(G48))</f>
        <v>0</v>
      </c>
      <c r="H58" s="58" t="n">
        <f aca="false">MAX(0,H38+N(H48))</f>
        <v>0</v>
      </c>
      <c r="I58" s="58" t="n">
        <f aca="false">MAX(0,I38+N(I48))</f>
        <v>0</v>
      </c>
      <c r="J58" s="58" t="n">
        <f aca="false">MAX(0,J38+N(J48))</f>
        <v>0</v>
      </c>
      <c r="K58" s="58" t="n">
        <f aca="false">MAX(0,K38+N(K48))</f>
        <v>0</v>
      </c>
      <c r="L58" s="58" t="n">
        <f aca="false">MAX(0,L38+N(L48))</f>
        <v>2.5</v>
      </c>
      <c r="M58" s="58" t="n">
        <f aca="false">MAX(0,M38+N(M48))</f>
        <v>2.5</v>
      </c>
      <c r="N58" s="58" t="n">
        <f aca="false">MAX(0,N38+N(N48))</f>
        <v>3.5</v>
      </c>
      <c r="O58" s="58" t="n">
        <f aca="false">MAX(0,O38+N(O48))</f>
        <v>4</v>
      </c>
      <c r="P58" s="58" t="n">
        <f aca="false">MAX(0,P38+N(P48))</f>
        <v>5</v>
      </c>
      <c r="Q58" s="58" t="n">
        <f aca="false">MAX(0,Q38+N(Q48))</f>
        <v>5.5</v>
      </c>
      <c r="R58" s="58" t="n">
        <f aca="false">MAX(0,R38+N(R48))</f>
        <v>6</v>
      </c>
      <c r="S58" s="58" t="n">
        <f aca="false">MAX(0,S38+N(S48))</f>
        <v>6</v>
      </c>
      <c r="T58" s="58" t="n">
        <f aca="false">MAX(0,T38+N(T48))</f>
        <v>6</v>
      </c>
      <c r="U58" s="58" t="n">
        <f aca="false">MAX(0,U38+N(U48))</f>
        <v>6</v>
      </c>
      <c r="V58" s="58" t="n">
        <f aca="false">MAX(0,V38+N(V48))</f>
        <v>6</v>
      </c>
      <c r="W58" s="58" t="n">
        <f aca="false">MAX(0,W38+N(W48))</f>
        <v>6</v>
      </c>
      <c r="X58" s="58" t="n">
        <f aca="false">MAX(0,X38+N(X48))</f>
        <v>3.5</v>
      </c>
      <c r="Y58" s="58" t="n">
        <f aca="false">MAX(0,Y38+N(Y48))</f>
        <v>3.5</v>
      </c>
      <c r="Z58" s="58" t="n">
        <f aca="false">MAX(0,Z38+N(Z48))</f>
        <v>3.5</v>
      </c>
      <c r="AA58" s="58" t="n">
        <f aca="false">MAX(0,AA38+N(AA48))</f>
        <v>3.5</v>
      </c>
      <c r="AB58" s="58" t="n">
        <f aca="false">MAX(0,AB38+N(AB48))</f>
        <v>3.5</v>
      </c>
      <c r="AC58" s="58" t="n">
        <f aca="false">MAX(0,AC38+N(AC48))</f>
        <v>3.5</v>
      </c>
      <c r="AD58" s="58" t="n">
        <f aca="false">MAX(0,AD38+N(AD48))</f>
        <v>3.5</v>
      </c>
      <c r="AE58" s="58" t="n">
        <f aca="false">MAX(0,AE38+N(AE48))</f>
        <v>3</v>
      </c>
      <c r="AF58" s="58" t="n">
        <f aca="false">MAX(0,AF38+N(AF48))</f>
        <v>2.5</v>
      </c>
      <c r="AG58" s="58" t="n">
        <f aca="false">MAX(0,AG38+N(AG48))</f>
        <v>2</v>
      </c>
      <c r="AH58" s="58" t="n">
        <f aca="false">MAX(0,AH38+N(AH48))</f>
        <v>1</v>
      </c>
      <c r="AI58" s="58" t="n">
        <f aca="false">MAX(0,AI38+N(AI48))</f>
        <v>1</v>
      </c>
      <c r="AJ58" s="58" t="n">
        <f aca="false">MAX(0,AJ38+N(AJ48))</f>
        <v>1</v>
      </c>
      <c r="AK58" s="58" t="n">
        <f aca="false">MAX(0,AK38+N(AK48))</f>
        <v>1</v>
      </c>
      <c r="AL58" s="58" t="n">
        <f aca="false">MAX(0,AL38+N(AL48))</f>
        <v>1</v>
      </c>
      <c r="AM58" s="58" t="n">
        <f aca="false">MAX(0,AM38+N(AM48))</f>
        <v>1</v>
      </c>
      <c r="AN58" s="58" t="n">
        <f aca="false">MAX(0,AN38+N(AN48))</f>
        <v>0.5</v>
      </c>
      <c r="AO58" s="58" t="n">
        <f aca="false">MAX(0,AO38+N(AO48))</f>
        <v>0.5</v>
      </c>
      <c r="AP58" s="58" t="n">
        <f aca="false">MAX(0,AP38+N(AP48))</f>
        <v>0</v>
      </c>
      <c r="AQ58" s="58" t="n">
        <f aca="false">MAX(0,AQ38+N(AQ48))</f>
        <v>0</v>
      </c>
      <c r="AR58" s="58" t="n">
        <f aca="false">MAX(0,AR38+N(AR48))</f>
        <v>0</v>
      </c>
      <c r="AS58" s="58" t="n">
        <f aca="false">MAX(0,AS38+N(AS48))</f>
        <v>0</v>
      </c>
      <c r="AT58" s="58" t="n">
        <f aca="false">MAX(0,AT38+N(AT48))</f>
        <v>0</v>
      </c>
      <c r="AU58" s="58" t="n">
        <f aca="false">MAX(0,AU38+N(AU48))</f>
        <v>0</v>
      </c>
      <c r="AV58" s="58" t="n">
        <f aca="false">MAX(0,AV38+N(AV48))</f>
        <v>0</v>
      </c>
      <c r="AW58" s="58" t="n">
        <f aca="false">MAX(0,AW38+N(AW48))</f>
        <v>0</v>
      </c>
      <c r="AX58" s="58" t="n">
        <f aca="false">MAX(0,AX38+N(AX48))</f>
        <v>0</v>
      </c>
      <c r="AY58" s="58" t="n">
        <f aca="false">MAX(0,AY38+N(AY48))</f>
        <v>0</v>
      </c>
      <c r="AZ58" s="58" t="n">
        <f aca="false">MAX(0,AZ38+N(AZ48))</f>
        <v>0</v>
      </c>
      <c r="BA58" s="58" t="n">
        <f aca="false">MAX(0,BA38+N(BA48))</f>
        <v>0</v>
      </c>
      <c r="BB58" s="58" t="n">
        <f aca="false">MAX(0,BB38+N(BB48))</f>
        <v>0</v>
      </c>
      <c r="BC58" s="58" t="n">
        <f aca="false">MAX(0,BC38+N(BC48))</f>
        <v>0</v>
      </c>
      <c r="BD58" s="58" t="n">
        <f aca="false">MAX(0,BD38+N(BD48))</f>
        <v>0</v>
      </c>
      <c r="BE58" s="58" t="n">
        <f aca="false">MAX(0,BE38+N(BE48))</f>
        <v>0</v>
      </c>
      <c r="BF58" s="58" t="n">
        <f aca="false">MAX(0,BF38+N(BF48))</f>
        <v>0</v>
      </c>
      <c r="BG58" s="58" t="n">
        <f aca="false">MAX(0,BG38+N(BG48))</f>
        <v>0</v>
      </c>
      <c r="BH58" s="58" t="n">
        <f aca="false">MAX(0,BH38+N(BH48))</f>
        <v>0</v>
      </c>
      <c r="BI58" s="58" t="n">
        <f aca="false">MAX(0,BI38+N(BI48))</f>
        <v>0</v>
      </c>
      <c r="BJ58" s="58" t="n">
        <f aca="false">MAX(0,BJ38+N(BJ48))</f>
        <v>0</v>
      </c>
      <c r="BK58" s="58" t="n">
        <f aca="false">MAX(0,BK38+N(BK48))</f>
        <v>0</v>
      </c>
      <c r="BL58" s="58" t="n">
        <f aca="false">MAX(0,BL38+N(BL48))</f>
        <v>0</v>
      </c>
      <c r="BM58" s="58" t="n">
        <f aca="false">MAX(0,BM38+N(BM48))</f>
        <v>0</v>
      </c>
      <c r="BN58" s="58" t="n">
        <f aca="false">MAX(0,BN38+N(BN48))</f>
        <v>0</v>
      </c>
      <c r="BO58" s="58" t="n">
        <f aca="false">MAX(0,BO38+N(BO48))</f>
        <v>0</v>
      </c>
      <c r="BP58" s="58" t="n">
        <f aca="false">MAX(0,BP38+N(BP48))</f>
        <v>0</v>
      </c>
      <c r="BQ58" s="58" t="n">
        <f aca="false">MAX(0,BQ38+N(BQ48))</f>
        <v>0</v>
      </c>
      <c r="BR58" s="58" t="n">
        <f aca="false">MAX(0,BR38+N(BR48))</f>
        <v>0</v>
      </c>
      <c r="BS58" s="58" t="n">
        <f aca="false">MAX(0,BS38+N(BS48))</f>
        <v>0</v>
      </c>
      <c r="BT58" s="58" t="n">
        <f aca="false">MAX(0,BT38+N(BT48))</f>
        <v>0</v>
      </c>
      <c r="BU58" s="58" t="n">
        <f aca="false">MAX(0,BU38+N(BU48))</f>
        <v>0</v>
      </c>
      <c r="BV58" s="58" t="n">
        <f aca="false">MAX(0,BV38+N(BV48))</f>
        <v>0</v>
      </c>
      <c r="BW58" s="58" t="n">
        <f aca="false">MAX(0,BW38+N(BW48))</f>
        <v>0</v>
      </c>
      <c r="BX58" s="58" t="n">
        <f aca="false">MAX(0,BX38+N(BX48))</f>
        <v>0</v>
      </c>
      <c r="BY58" s="58" t="n">
        <f aca="false">MAX(0,BY38+N(BY48))</f>
        <v>0</v>
      </c>
      <c r="BZ58" s="58" t="n">
        <f aca="false">MAX(0,BZ38+N(BZ48))</f>
        <v>0</v>
      </c>
      <c r="CA58" s="58" t="n">
        <f aca="false">MAX(0,CA38+N(CA48))</f>
        <v>0</v>
      </c>
      <c r="CB58" s="58" t="n">
        <f aca="false">MAX(0,CB38+N(CB48))</f>
        <v>0</v>
      </c>
      <c r="CC58" s="58" t="n">
        <f aca="false">MAX(0,CC38+N(CC48))</f>
        <v>0</v>
      </c>
      <c r="CD58" s="58" t="n">
        <f aca="false">MAX(0,CD38+N(CD48))</f>
        <v>0</v>
      </c>
      <c r="CE58" s="58" t="n">
        <f aca="false">MAX(0,CE38+N(CE48))</f>
        <v>0</v>
      </c>
      <c r="CF58" s="58" t="n">
        <f aca="false">MAX(0,CF38+N(CF48))</f>
        <v>0</v>
      </c>
      <c r="CG58" s="58" t="n">
        <f aca="false">MAX(0,CG38+N(CG48))</f>
        <v>0</v>
      </c>
      <c r="CH58" s="58" t="n">
        <f aca="false">MAX(0,CH38+N(CH48))</f>
        <v>0</v>
      </c>
      <c r="CI58" s="58" t="n">
        <f aca="false">MAX(0,CI38+N(CI48))</f>
        <v>0</v>
      </c>
      <c r="CJ58" s="58" t="n">
        <f aca="false">MAX(0,CJ38+N(CJ48))</f>
        <v>0</v>
      </c>
      <c r="CK58" s="58" t="n">
        <f aca="false">MAX(0,CK38+N(CK48))</f>
        <v>0</v>
      </c>
      <c r="CL58" s="58" t="n">
        <f aca="false">MAX(0,CL38+N(CL48))</f>
        <v>0</v>
      </c>
      <c r="CM58" s="58" t="n">
        <f aca="false">MAX(0,CM38+N(CM48))</f>
        <v>0</v>
      </c>
      <c r="CN58" s="58" t="n">
        <f aca="false">MAX(0,CN38+N(CN48))</f>
        <v>0</v>
      </c>
      <c r="CO58" s="58" t="n">
        <f aca="false">MAX(0,CO38+N(CO48))</f>
        <v>0</v>
      </c>
      <c r="CP58" s="58" t="n">
        <f aca="false">MAX(0,CP38+N(CP48))</f>
        <v>0</v>
      </c>
      <c r="CQ58" s="58" t="n">
        <f aca="false">MAX(0,CQ38+N(CQ48))</f>
        <v>0</v>
      </c>
      <c r="CR58" s="58" t="n">
        <f aca="false">MAX(0,CR38+N(CR48))</f>
        <v>0</v>
      </c>
      <c r="CS58" s="58" t="n">
        <f aca="false">MAX(0,CS38+N(CS48))</f>
        <v>0</v>
      </c>
      <c r="CT58" s="58" t="n">
        <f aca="false">MAX(0,CT38+N(CT48))</f>
        <v>0</v>
      </c>
      <c r="CU58" s="58" t="n">
        <f aca="false">MAX(0,CU38+N(CU48))</f>
        <v>0</v>
      </c>
      <c r="CV58" s="58" t="n">
        <f aca="false">MAX(0,CV38+N(CV48))</f>
        <v>0</v>
      </c>
      <c r="CW58" s="58" t="n">
        <f aca="false">MAX(0,CW38+N(CW48))</f>
        <v>0</v>
      </c>
      <c r="CX58" s="58" t="n">
        <f aca="false">MAX(0,CX38+N(CX48))</f>
        <v>0</v>
      </c>
      <c r="CY58" s="58" t="n">
        <f aca="false">MAX(0,CY38+N(CY48))</f>
        <v>0</v>
      </c>
      <c r="CZ58" s="58" t="n">
        <f aca="false">MAX(0,CZ38+N(CZ48))</f>
        <v>0</v>
      </c>
      <c r="DA58" s="58" t="n">
        <f aca="false">MAX(0,DA38+N(DA48))</f>
        <v>0</v>
      </c>
      <c r="DB58" s="58" t="n">
        <f aca="false">MAX(0,DB38+N(DB48))</f>
        <v>0</v>
      </c>
      <c r="DC58" s="58" t="n">
        <f aca="false">MAX(0,DC38+N(DC48))</f>
        <v>0</v>
      </c>
      <c r="DD58" s="58" t="n">
        <f aca="false">MAX(0,DD38+N(DD48))</f>
        <v>0</v>
      </c>
      <c r="DE58" s="58" t="n">
        <f aca="false">MAX(0,DE38+N(DE48))</f>
        <v>0</v>
      </c>
    </row>
    <row r="59" customFormat="false" ht="15" hidden="false" customHeight="false" outlineLevel="0" collapsed="false">
      <c r="A59" s="9" t="str">
        <f aca="false">Roles!B12</f>
        <v>Engineer</v>
      </c>
      <c r="B59" s="2"/>
      <c r="C59" s="2"/>
      <c r="D59" s="22" t="n">
        <f aca="false">SUM(F59:DE59)*HrsWk</f>
        <v>4760</v>
      </c>
      <c r="E59" s="9" t="str">
        <f aca="false">A59</f>
        <v>Engineer</v>
      </c>
      <c r="F59" s="58" t="n">
        <f aca="false">MAX(0,F39+N(F49))</f>
        <v>0</v>
      </c>
      <c r="G59" s="58" t="n">
        <f aca="false">MAX(0,G39+N(G49))</f>
        <v>0</v>
      </c>
      <c r="H59" s="58" t="n">
        <f aca="false">MAX(0,H39+N(H49))</f>
        <v>0</v>
      </c>
      <c r="I59" s="58" t="n">
        <f aca="false">MAX(0,I39+N(I49))</f>
        <v>0</v>
      </c>
      <c r="J59" s="58" t="n">
        <f aca="false">MAX(0,J39+N(J49))</f>
        <v>0</v>
      </c>
      <c r="K59" s="58" t="n">
        <f aca="false">MAX(0,K39+N(K49))</f>
        <v>0</v>
      </c>
      <c r="L59" s="58" t="n">
        <f aca="false">MAX(0,L39+N(L49))</f>
        <v>1</v>
      </c>
      <c r="M59" s="58" t="n">
        <f aca="false">MAX(0,M39+N(M49))</f>
        <v>1</v>
      </c>
      <c r="N59" s="58" t="n">
        <f aca="false">MAX(0,N39+N(N49))</f>
        <v>2.5</v>
      </c>
      <c r="O59" s="58" t="n">
        <f aca="false">MAX(0,O39+N(O49))</f>
        <v>3.5</v>
      </c>
      <c r="P59" s="58" t="n">
        <f aca="false">MAX(0,P39+N(P49))</f>
        <v>5.5</v>
      </c>
      <c r="Q59" s="58" t="n">
        <f aca="false">MAX(0,Q39+N(Q49))</f>
        <v>7</v>
      </c>
      <c r="R59" s="58" t="n">
        <f aca="false">MAX(0,R39+N(R49))</f>
        <v>7</v>
      </c>
      <c r="S59" s="58" t="n">
        <f aca="false">MAX(0,S39+N(S49))</f>
        <v>7</v>
      </c>
      <c r="T59" s="58" t="n">
        <f aca="false">MAX(0,T39+N(T49))</f>
        <v>7</v>
      </c>
      <c r="U59" s="58" t="n">
        <f aca="false">MAX(0,U39+N(U49))</f>
        <v>7</v>
      </c>
      <c r="V59" s="58" t="n">
        <f aca="false">MAX(0,V39+N(V49))</f>
        <v>7</v>
      </c>
      <c r="W59" s="58" t="n">
        <f aca="false">MAX(0,W39+N(W49))</f>
        <v>7</v>
      </c>
      <c r="X59" s="58" t="n">
        <f aca="false">MAX(0,X39+N(X49))</f>
        <v>6</v>
      </c>
      <c r="Y59" s="58" t="n">
        <f aca="false">MAX(0,Y39+N(Y49))</f>
        <v>6</v>
      </c>
      <c r="Z59" s="58" t="n">
        <f aca="false">MAX(0,Z39+N(Z49))</f>
        <v>6</v>
      </c>
      <c r="AA59" s="58" t="n">
        <f aca="false">MAX(0,AA39+N(AA49))</f>
        <v>6</v>
      </c>
      <c r="AB59" s="58" t="n">
        <f aca="false">MAX(0,AB39+N(AB49))</f>
        <v>6</v>
      </c>
      <c r="AC59" s="58" t="n">
        <f aca="false">MAX(0,AC39+N(AC49))</f>
        <v>6</v>
      </c>
      <c r="AD59" s="58" t="n">
        <f aca="false">MAX(0,AD39+N(AD49))</f>
        <v>6</v>
      </c>
      <c r="AE59" s="58" t="n">
        <f aca="false">MAX(0,AE39+N(AE49))</f>
        <v>4.5</v>
      </c>
      <c r="AF59" s="58" t="n">
        <f aca="false">MAX(0,AF39+N(AF49))</f>
        <v>3.5</v>
      </c>
      <c r="AG59" s="58" t="n">
        <f aca="false">MAX(0,AG39+N(AG49))</f>
        <v>2</v>
      </c>
      <c r="AH59" s="58" t="n">
        <f aca="false">MAX(0,AH39+N(AH49))</f>
        <v>1</v>
      </c>
      <c r="AI59" s="58" t="n">
        <f aca="false">MAX(0,AI39+N(AI49))</f>
        <v>1</v>
      </c>
      <c r="AJ59" s="58" t="n">
        <f aca="false">MAX(0,AJ39+N(AJ49))</f>
        <v>1</v>
      </c>
      <c r="AK59" s="58" t="n">
        <f aca="false">MAX(0,AK39+N(AK49))</f>
        <v>0.5</v>
      </c>
      <c r="AL59" s="58" t="n">
        <f aca="false">MAX(0,AL39+N(AL49))</f>
        <v>0.5</v>
      </c>
      <c r="AM59" s="58" t="n">
        <f aca="false">MAX(0,AM39+N(AM49))</f>
        <v>0.5</v>
      </c>
      <c r="AN59" s="58" t="n">
        <f aca="false">MAX(0,AN39+N(AN49))</f>
        <v>0</v>
      </c>
      <c r="AO59" s="58" t="n">
        <f aca="false">MAX(0,AO39+N(AO49))</f>
        <v>0</v>
      </c>
      <c r="AP59" s="58" t="n">
        <f aca="false">MAX(0,AP39+N(AP49))</f>
        <v>0</v>
      </c>
      <c r="AQ59" s="58" t="n">
        <f aca="false">MAX(0,AQ39+N(AQ49))</f>
        <v>0</v>
      </c>
      <c r="AR59" s="58" t="n">
        <f aca="false">MAX(0,AR39+N(AR49))</f>
        <v>0</v>
      </c>
      <c r="AS59" s="58" t="n">
        <f aca="false">MAX(0,AS39+N(AS49))</f>
        <v>0</v>
      </c>
      <c r="AT59" s="58" t="n">
        <f aca="false">MAX(0,AT39+N(AT49))</f>
        <v>0</v>
      </c>
      <c r="AU59" s="58" t="n">
        <f aca="false">MAX(0,AU39+N(AU49))</f>
        <v>0</v>
      </c>
      <c r="AV59" s="58" t="n">
        <f aca="false">MAX(0,AV39+N(AV49))</f>
        <v>0</v>
      </c>
      <c r="AW59" s="58" t="n">
        <f aca="false">MAX(0,AW39+N(AW49))</f>
        <v>0</v>
      </c>
      <c r="AX59" s="58" t="n">
        <f aca="false">MAX(0,AX39+N(AX49))</f>
        <v>0</v>
      </c>
      <c r="AY59" s="58" t="n">
        <f aca="false">MAX(0,AY39+N(AY49))</f>
        <v>0</v>
      </c>
      <c r="AZ59" s="58" t="n">
        <f aca="false">MAX(0,AZ39+N(AZ49))</f>
        <v>0</v>
      </c>
      <c r="BA59" s="58" t="n">
        <f aca="false">MAX(0,BA39+N(BA49))</f>
        <v>0</v>
      </c>
      <c r="BB59" s="58" t="n">
        <f aca="false">MAX(0,BB39+N(BB49))</f>
        <v>0</v>
      </c>
      <c r="BC59" s="58" t="n">
        <f aca="false">MAX(0,BC39+N(BC49))</f>
        <v>0</v>
      </c>
      <c r="BD59" s="58" t="n">
        <f aca="false">MAX(0,BD39+N(BD49))</f>
        <v>0</v>
      </c>
      <c r="BE59" s="58" t="n">
        <f aca="false">MAX(0,BE39+N(BE49))</f>
        <v>0</v>
      </c>
      <c r="BF59" s="58" t="n">
        <f aca="false">MAX(0,BF39+N(BF49))</f>
        <v>0</v>
      </c>
      <c r="BG59" s="58" t="n">
        <f aca="false">MAX(0,BG39+N(BG49))</f>
        <v>0</v>
      </c>
      <c r="BH59" s="58" t="n">
        <f aca="false">MAX(0,BH39+N(BH49))</f>
        <v>0</v>
      </c>
      <c r="BI59" s="58" t="n">
        <f aca="false">MAX(0,BI39+N(BI49))</f>
        <v>0</v>
      </c>
      <c r="BJ59" s="58" t="n">
        <f aca="false">MAX(0,BJ39+N(BJ49))</f>
        <v>0</v>
      </c>
      <c r="BK59" s="58" t="n">
        <f aca="false">MAX(0,BK39+N(BK49))</f>
        <v>0</v>
      </c>
      <c r="BL59" s="58" t="n">
        <f aca="false">MAX(0,BL39+N(BL49))</f>
        <v>0</v>
      </c>
      <c r="BM59" s="58" t="n">
        <f aca="false">MAX(0,BM39+N(BM49))</f>
        <v>0</v>
      </c>
      <c r="BN59" s="58" t="n">
        <f aca="false">MAX(0,BN39+N(BN49))</f>
        <v>0</v>
      </c>
      <c r="BO59" s="58" t="n">
        <f aca="false">MAX(0,BO39+N(BO49))</f>
        <v>0</v>
      </c>
      <c r="BP59" s="58" t="n">
        <f aca="false">MAX(0,BP39+N(BP49))</f>
        <v>0</v>
      </c>
      <c r="BQ59" s="58" t="n">
        <f aca="false">MAX(0,BQ39+N(BQ49))</f>
        <v>0</v>
      </c>
      <c r="BR59" s="58" t="n">
        <f aca="false">MAX(0,BR39+N(BR49))</f>
        <v>0</v>
      </c>
      <c r="BS59" s="58" t="n">
        <f aca="false">MAX(0,BS39+N(BS49))</f>
        <v>0</v>
      </c>
      <c r="BT59" s="58" t="n">
        <f aca="false">MAX(0,BT39+N(BT49))</f>
        <v>0</v>
      </c>
      <c r="BU59" s="58" t="n">
        <f aca="false">MAX(0,BU39+N(BU49))</f>
        <v>0</v>
      </c>
      <c r="BV59" s="58" t="n">
        <f aca="false">MAX(0,BV39+N(BV49))</f>
        <v>0</v>
      </c>
      <c r="BW59" s="58" t="n">
        <f aca="false">MAX(0,BW39+N(BW49))</f>
        <v>0</v>
      </c>
      <c r="BX59" s="58" t="n">
        <f aca="false">MAX(0,BX39+N(BX49))</f>
        <v>0</v>
      </c>
      <c r="BY59" s="58" t="n">
        <f aca="false">MAX(0,BY39+N(BY49))</f>
        <v>0</v>
      </c>
      <c r="BZ59" s="58" t="n">
        <f aca="false">MAX(0,BZ39+N(BZ49))</f>
        <v>0</v>
      </c>
      <c r="CA59" s="58" t="n">
        <f aca="false">MAX(0,CA39+N(CA49))</f>
        <v>0</v>
      </c>
      <c r="CB59" s="58" t="n">
        <f aca="false">MAX(0,CB39+N(CB49))</f>
        <v>0</v>
      </c>
      <c r="CC59" s="58" t="n">
        <f aca="false">MAX(0,CC39+N(CC49))</f>
        <v>0</v>
      </c>
      <c r="CD59" s="58" t="n">
        <f aca="false">MAX(0,CD39+N(CD49))</f>
        <v>0</v>
      </c>
      <c r="CE59" s="58" t="n">
        <f aca="false">MAX(0,CE39+N(CE49))</f>
        <v>0</v>
      </c>
      <c r="CF59" s="58" t="n">
        <f aca="false">MAX(0,CF39+N(CF49))</f>
        <v>0</v>
      </c>
      <c r="CG59" s="58" t="n">
        <f aca="false">MAX(0,CG39+N(CG49))</f>
        <v>0</v>
      </c>
      <c r="CH59" s="58" t="n">
        <f aca="false">MAX(0,CH39+N(CH49))</f>
        <v>0</v>
      </c>
      <c r="CI59" s="58" t="n">
        <f aca="false">MAX(0,CI39+N(CI49))</f>
        <v>0</v>
      </c>
      <c r="CJ59" s="58" t="n">
        <f aca="false">MAX(0,CJ39+N(CJ49))</f>
        <v>0</v>
      </c>
      <c r="CK59" s="58" t="n">
        <f aca="false">MAX(0,CK39+N(CK49))</f>
        <v>0</v>
      </c>
      <c r="CL59" s="58" t="n">
        <f aca="false">MAX(0,CL39+N(CL49))</f>
        <v>0</v>
      </c>
      <c r="CM59" s="58" t="n">
        <f aca="false">MAX(0,CM39+N(CM49))</f>
        <v>0</v>
      </c>
      <c r="CN59" s="58" t="n">
        <f aca="false">MAX(0,CN39+N(CN49))</f>
        <v>0</v>
      </c>
      <c r="CO59" s="58" t="n">
        <f aca="false">MAX(0,CO39+N(CO49))</f>
        <v>0</v>
      </c>
      <c r="CP59" s="58" t="n">
        <f aca="false">MAX(0,CP39+N(CP49))</f>
        <v>0</v>
      </c>
      <c r="CQ59" s="58" t="n">
        <f aca="false">MAX(0,CQ39+N(CQ49))</f>
        <v>0</v>
      </c>
      <c r="CR59" s="58" t="n">
        <f aca="false">MAX(0,CR39+N(CR49))</f>
        <v>0</v>
      </c>
      <c r="CS59" s="58" t="n">
        <f aca="false">MAX(0,CS39+N(CS49))</f>
        <v>0</v>
      </c>
      <c r="CT59" s="58" t="n">
        <f aca="false">MAX(0,CT39+N(CT49))</f>
        <v>0</v>
      </c>
      <c r="CU59" s="58" t="n">
        <f aca="false">MAX(0,CU39+N(CU49))</f>
        <v>0</v>
      </c>
      <c r="CV59" s="58" t="n">
        <f aca="false">MAX(0,CV39+N(CV49))</f>
        <v>0</v>
      </c>
      <c r="CW59" s="58" t="n">
        <f aca="false">MAX(0,CW39+N(CW49))</f>
        <v>0</v>
      </c>
      <c r="CX59" s="58" t="n">
        <f aca="false">MAX(0,CX39+N(CX49))</f>
        <v>0</v>
      </c>
      <c r="CY59" s="58" t="n">
        <f aca="false">MAX(0,CY39+N(CY49))</f>
        <v>0</v>
      </c>
      <c r="CZ59" s="58" t="n">
        <f aca="false">MAX(0,CZ39+N(CZ49))</f>
        <v>0</v>
      </c>
      <c r="DA59" s="58" t="n">
        <f aca="false">MAX(0,DA39+N(DA49))</f>
        <v>0</v>
      </c>
      <c r="DB59" s="58" t="n">
        <f aca="false">MAX(0,DB39+N(DB49))</f>
        <v>0</v>
      </c>
      <c r="DC59" s="58" t="n">
        <f aca="false">MAX(0,DC39+N(DC49))</f>
        <v>0</v>
      </c>
      <c r="DD59" s="58" t="n">
        <f aca="false">MAX(0,DD39+N(DD49))</f>
        <v>0</v>
      </c>
      <c r="DE59" s="58" t="n">
        <f aca="false">MAX(0,DE39+N(DE49))</f>
        <v>0</v>
      </c>
    </row>
    <row r="60" customFormat="false" ht="15" hidden="false" customHeight="false" outlineLevel="0" collapsed="false">
      <c r="A60" s="9" t="str">
        <f aca="false">Roles!B13</f>
        <v>QA engineer</v>
      </c>
      <c r="B60" s="2"/>
      <c r="C60" s="2"/>
      <c r="D60" s="22" t="n">
        <f aca="false">SUM(F60:DE60)*HrsWk</f>
        <v>1260</v>
      </c>
      <c r="E60" s="9" t="str">
        <f aca="false">A60</f>
        <v>QA engineer</v>
      </c>
      <c r="F60" s="58" t="n">
        <f aca="false">MAX(0,F40+N(F50))</f>
        <v>0</v>
      </c>
      <c r="G60" s="58" t="n">
        <f aca="false">MAX(0,G40+N(G50))</f>
        <v>0</v>
      </c>
      <c r="H60" s="58" t="n">
        <f aca="false">MAX(0,H40+N(H50))</f>
        <v>0</v>
      </c>
      <c r="I60" s="58" t="n">
        <f aca="false">MAX(0,I40+N(I50))</f>
        <v>0</v>
      </c>
      <c r="J60" s="58" t="n">
        <f aca="false">MAX(0,J40+N(J50))</f>
        <v>0</v>
      </c>
      <c r="K60" s="58" t="n">
        <f aca="false">MAX(0,K40+N(K50))</f>
        <v>0</v>
      </c>
      <c r="L60" s="58" t="n">
        <f aca="false">MAX(0,L40+N(L50))</f>
        <v>0</v>
      </c>
      <c r="M60" s="58" t="n">
        <f aca="false">MAX(0,M40+N(M50))</f>
        <v>0</v>
      </c>
      <c r="N60" s="58" t="n">
        <f aca="false">MAX(0,N40+N(N50))</f>
        <v>0</v>
      </c>
      <c r="O60" s="58" t="n">
        <f aca="false">MAX(0,O40+N(O50))</f>
        <v>0</v>
      </c>
      <c r="P60" s="58" t="n">
        <f aca="false">MAX(0,P40+N(P50))</f>
        <v>1.5</v>
      </c>
      <c r="Q60" s="58" t="n">
        <f aca="false">MAX(0,Q40+N(Q50))</f>
        <v>1.5</v>
      </c>
      <c r="R60" s="58" t="n">
        <f aca="false">MAX(0,R40+N(R50))</f>
        <v>1.5</v>
      </c>
      <c r="S60" s="58" t="n">
        <f aca="false">MAX(0,S40+N(S50))</f>
        <v>1.5</v>
      </c>
      <c r="T60" s="58" t="n">
        <f aca="false">MAX(0,T40+N(T50))</f>
        <v>1.5</v>
      </c>
      <c r="U60" s="58" t="n">
        <f aca="false">MAX(0,U40+N(U50))</f>
        <v>1.5</v>
      </c>
      <c r="V60" s="58" t="n">
        <f aca="false">MAX(0,V40+N(V50))</f>
        <v>1.5</v>
      </c>
      <c r="W60" s="58" t="n">
        <f aca="false">MAX(0,W40+N(W50))</f>
        <v>1.5</v>
      </c>
      <c r="X60" s="58" t="n">
        <f aca="false">MAX(0,X40+N(X50))</f>
        <v>1.5</v>
      </c>
      <c r="Y60" s="58" t="n">
        <f aca="false">MAX(0,Y40+N(Y50))</f>
        <v>1.5</v>
      </c>
      <c r="Z60" s="58" t="n">
        <f aca="false">MAX(0,Z40+N(Z50))</f>
        <v>1.5</v>
      </c>
      <c r="AA60" s="58" t="n">
        <f aca="false">MAX(0,AA40+N(AA50))</f>
        <v>1.5</v>
      </c>
      <c r="AB60" s="58" t="n">
        <f aca="false">MAX(0,AB40+N(AB50))</f>
        <v>1.5</v>
      </c>
      <c r="AC60" s="58" t="n">
        <f aca="false">MAX(0,AC40+N(AC50))</f>
        <v>1.5</v>
      </c>
      <c r="AD60" s="58" t="n">
        <f aca="false">MAX(0,AD40+N(AD50))</f>
        <v>1.5</v>
      </c>
      <c r="AE60" s="58" t="n">
        <f aca="false">MAX(0,AE40+N(AE50))</f>
        <v>1.5</v>
      </c>
      <c r="AF60" s="58" t="n">
        <f aca="false">MAX(0,AF40+N(AF50))</f>
        <v>1.5</v>
      </c>
      <c r="AG60" s="58" t="n">
        <f aca="false">MAX(0,AG40+N(AG50))</f>
        <v>1.5</v>
      </c>
      <c r="AH60" s="58" t="n">
        <f aca="false">MAX(0,AH40+N(AH50))</f>
        <v>1.5</v>
      </c>
      <c r="AI60" s="58" t="n">
        <f aca="false">MAX(0,AI40+N(AI50))</f>
        <v>1.5</v>
      </c>
      <c r="AJ60" s="58" t="n">
        <f aca="false">MAX(0,AJ40+N(AJ50))</f>
        <v>1.5</v>
      </c>
      <c r="AK60" s="58" t="n">
        <f aca="false">MAX(0,AK40+N(AK50))</f>
        <v>0</v>
      </c>
      <c r="AL60" s="58" t="n">
        <f aca="false">MAX(0,AL40+N(AL50))</f>
        <v>0</v>
      </c>
      <c r="AM60" s="58" t="n">
        <f aca="false">MAX(0,AM40+N(AM50))</f>
        <v>0</v>
      </c>
      <c r="AN60" s="58" t="n">
        <f aca="false">MAX(0,AN40+N(AN50))</f>
        <v>0</v>
      </c>
      <c r="AO60" s="58" t="n">
        <f aca="false">MAX(0,AO40+N(AO50))</f>
        <v>0</v>
      </c>
      <c r="AP60" s="58" t="n">
        <f aca="false">MAX(0,AP40+N(AP50))</f>
        <v>0</v>
      </c>
      <c r="AQ60" s="58" t="n">
        <f aca="false">MAX(0,AQ40+N(AQ50))</f>
        <v>0</v>
      </c>
      <c r="AR60" s="58" t="n">
        <f aca="false">MAX(0,AR40+N(AR50))</f>
        <v>0</v>
      </c>
      <c r="AS60" s="58" t="n">
        <f aca="false">MAX(0,AS40+N(AS50))</f>
        <v>0</v>
      </c>
      <c r="AT60" s="58" t="n">
        <f aca="false">MAX(0,AT40+N(AT50))</f>
        <v>0</v>
      </c>
      <c r="AU60" s="58" t="n">
        <f aca="false">MAX(0,AU40+N(AU50))</f>
        <v>0</v>
      </c>
      <c r="AV60" s="58" t="n">
        <f aca="false">MAX(0,AV40+N(AV50))</f>
        <v>0</v>
      </c>
      <c r="AW60" s="58" t="n">
        <f aca="false">MAX(0,AW40+N(AW50))</f>
        <v>0</v>
      </c>
      <c r="AX60" s="58" t="n">
        <f aca="false">MAX(0,AX40+N(AX50))</f>
        <v>0</v>
      </c>
      <c r="AY60" s="58" t="n">
        <f aca="false">MAX(0,AY40+N(AY50))</f>
        <v>0</v>
      </c>
      <c r="AZ60" s="58" t="n">
        <f aca="false">MAX(0,AZ40+N(AZ50))</f>
        <v>0</v>
      </c>
      <c r="BA60" s="58" t="n">
        <f aca="false">MAX(0,BA40+N(BA50))</f>
        <v>0</v>
      </c>
      <c r="BB60" s="58" t="n">
        <f aca="false">MAX(0,BB40+N(BB50))</f>
        <v>0</v>
      </c>
      <c r="BC60" s="58" t="n">
        <f aca="false">MAX(0,BC40+N(BC50))</f>
        <v>0</v>
      </c>
      <c r="BD60" s="58" t="n">
        <f aca="false">MAX(0,BD40+N(BD50))</f>
        <v>0</v>
      </c>
      <c r="BE60" s="58" t="n">
        <f aca="false">MAX(0,BE40+N(BE50))</f>
        <v>0</v>
      </c>
      <c r="BF60" s="58" t="n">
        <f aca="false">MAX(0,BF40+N(BF50))</f>
        <v>0</v>
      </c>
      <c r="BG60" s="58" t="n">
        <f aca="false">MAX(0,BG40+N(BG50))</f>
        <v>0</v>
      </c>
      <c r="BH60" s="58" t="n">
        <f aca="false">MAX(0,BH40+N(BH50))</f>
        <v>0</v>
      </c>
      <c r="BI60" s="58" t="n">
        <f aca="false">MAX(0,BI40+N(BI50))</f>
        <v>0</v>
      </c>
      <c r="BJ60" s="58" t="n">
        <f aca="false">MAX(0,BJ40+N(BJ50))</f>
        <v>0</v>
      </c>
      <c r="BK60" s="58" t="n">
        <f aca="false">MAX(0,BK40+N(BK50))</f>
        <v>0</v>
      </c>
      <c r="BL60" s="58" t="n">
        <f aca="false">MAX(0,BL40+N(BL50))</f>
        <v>0</v>
      </c>
      <c r="BM60" s="58" t="n">
        <f aca="false">MAX(0,BM40+N(BM50))</f>
        <v>0</v>
      </c>
      <c r="BN60" s="58" t="n">
        <f aca="false">MAX(0,BN40+N(BN50))</f>
        <v>0</v>
      </c>
      <c r="BO60" s="58" t="n">
        <f aca="false">MAX(0,BO40+N(BO50))</f>
        <v>0</v>
      </c>
      <c r="BP60" s="58" t="n">
        <f aca="false">MAX(0,BP40+N(BP50))</f>
        <v>0</v>
      </c>
      <c r="BQ60" s="58" t="n">
        <f aca="false">MAX(0,BQ40+N(BQ50))</f>
        <v>0</v>
      </c>
      <c r="BR60" s="58" t="n">
        <f aca="false">MAX(0,BR40+N(BR50))</f>
        <v>0</v>
      </c>
      <c r="BS60" s="58" t="n">
        <f aca="false">MAX(0,BS40+N(BS50))</f>
        <v>0</v>
      </c>
      <c r="BT60" s="58" t="n">
        <f aca="false">MAX(0,BT40+N(BT50))</f>
        <v>0</v>
      </c>
      <c r="BU60" s="58" t="n">
        <f aca="false">MAX(0,BU40+N(BU50))</f>
        <v>0</v>
      </c>
      <c r="BV60" s="58" t="n">
        <f aca="false">MAX(0,BV40+N(BV50))</f>
        <v>0</v>
      </c>
      <c r="BW60" s="58" t="n">
        <f aca="false">MAX(0,BW40+N(BW50))</f>
        <v>0</v>
      </c>
      <c r="BX60" s="58" t="n">
        <f aca="false">MAX(0,BX40+N(BX50))</f>
        <v>0</v>
      </c>
      <c r="BY60" s="58" t="n">
        <f aca="false">MAX(0,BY40+N(BY50))</f>
        <v>0</v>
      </c>
      <c r="BZ60" s="58" t="n">
        <f aca="false">MAX(0,BZ40+N(BZ50))</f>
        <v>0</v>
      </c>
      <c r="CA60" s="58" t="n">
        <f aca="false">MAX(0,CA40+N(CA50))</f>
        <v>0</v>
      </c>
      <c r="CB60" s="58" t="n">
        <f aca="false">MAX(0,CB40+N(CB50))</f>
        <v>0</v>
      </c>
      <c r="CC60" s="58" t="n">
        <f aca="false">MAX(0,CC40+N(CC50))</f>
        <v>0</v>
      </c>
      <c r="CD60" s="58" t="n">
        <f aca="false">MAX(0,CD40+N(CD50))</f>
        <v>0</v>
      </c>
      <c r="CE60" s="58" t="n">
        <f aca="false">MAX(0,CE40+N(CE50))</f>
        <v>0</v>
      </c>
      <c r="CF60" s="58" t="n">
        <f aca="false">MAX(0,CF40+N(CF50))</f>
        <v>0</v>
      </c>
      <c r="CG60" s="58" t="n">
        <f aca="false">MAX(0,CG40+N(CG50))</f>
        <v>0</v>
      </c>
      <c r="CH60" s="58" t="n">
        <f aca="false">MAX(0,CH40+N(CH50))</f>
        <v>0</v>
      </c>
      <c r="CI60" s="58" t="n">
        <f aca="false">MAX(0,CI40+N(CI50))</f>
        <v>0</v>
      </c>
      <c r="CJ60" s="58" t="n">
        <f aca="false">MAX(0,CJ40+N(CJ50))</f>
        <v>0</v>
      </c>
      <c r="CK60" s="58" t="n">
        <f aca="false">MAX(0,CK40+N(CK50))</f>
        <v>0</v>
      </c>
      <c r="CL60" s="58" t="n">
        <f aca="false">MAX(0,CL40+N(CL50))</f>
        <v>0</v>
      </c>
      <c r="CM60" s="58" t="n">
        <f aca="false">MAX(0,CM40+N(CM50))</f>
        <v>0</v>
      </c>
      <c r="CN60" s="58" t="n">
        <f aca="false">MAX(0,CN40+N(CN50))</f>
        <v>0</v>
      </c>
      <c r="CO60" s="58" t="n">
        <f aca="false">MAX(0,CO40+N(CO50))</f>
        <v>0</v>
      </c>
      <c r="CP60" s="58" t="n">
        <f aca="false">MAX(0,CP40+N(CP50))</f>
        <v>0</v>
      </c>
      <c r="CQ60" s="58" t="n">
        <f aca="false">MAX(0,CQ40+N(CQ50))</f>
        <v>0</v>
      </c>
      <c r="CR60" s="58" t="n">
        <f aca="false">MAX(0,CR40+N(CR50))</f>
        <v>0</v>
      </c>
      <c r="CS60" s="58" t="n">
        <f aca="false">MAX(0,CS40+N(CS50))</f>
        <v>0</v>
      </c>
      <c r="CT60" s="58" t="n">
        <f aca="false">MAX(0,CT40+N(CT50))</f>
        <v>0</v>
      </c>
      <c r="CU60" s="58" t="n">
        <f aca="false">MAX(0,CU40+N(CU50))</f>
        <v>0</v>
      </c>
      <c r="CV60" s="58" t="n">
        <f aca="false">MAX(0,CV40+N(CV50))</f>
        <v>0</v>
      </c>
      <c r="CW60" s="58" t="n">
        <f aca="false">MAX(0,CW40+N(CW50))</f>
        <v>0</v>
      </c>
      <c r="CX60" s="58" t="n">
        <f aca="false">MAX(0,CX40+N(CX50))</f>
        <v>0</v>
      </c>
      <c r="CY60" s="58" t="n">
        <f aca="false">MAX(0,CY40+N(CY50))</f>
        <v>0</v>
      </c>
      <c r="CZ60" s="58" t="n">
        <f aca="false">MAX(0,CZ40+N(CZ50))</f>
        <v>0</v>
      </c>
      <c r="DA60" s="58" t="n">
        <f aca="false">MAX(0,DA40+N(DA50))</f>
        <v>0</v>
      </c>
      <c r="DB60" s="58" t="n">
        <f aca="false">MAX(0,DB40+N(DB50))</f>
        <v>0</v>
      </c>
      <c r="DC60" s="58" t="n">
        <f aca="false">MAX(0,DC40+N(DC50))</f>
        <v>0</v>
      </c>
      <c r="DD60" s="58" t="n">
        <f aca="false">MAX(0,DD40+N(DD50))</f>
        <v>0</v>
      </c>
      <c r="DE60" s="58" t="n">
        <f aca="false">MAX(0,DE40+N(DE50))</f>
        <v>0</v>
      </c>
    </row>
    <row r="61" customFormat="false" ht="15" hidden="false" customHeight="false" outlineLevel="0" collapsed="false">
      <c r="A61" s="26" t="s">
        <v>589</v>
      </c>
      <c r="B61" s="2"/>
      <c r="C61" s="2"/>
      <c r="D61" s="27" t="n">
        <f aca="false">SUM(D53:D60)</f>
        <v>14140</v>
      </c>
      <c r="E61" s="2"/>
      <c r="F61" s="60" t="n">
        <f aca="false">SUM(F53:F60)</f>
        <v>4</v>
      </c>
      <c r="G61" s="60" t="n">
        <f aca="false">SUM(G53:G60)</f>
        <v>4</v>
      </c>
      <c r="H61" s="60" t="n">
        <f aca="false">SUM(H53:H60)</f>
        <v>4</v>
      </c>
      <c r="I61" s="60" t="n">
        <f aca="false">SUM(I53:I60)</f>
        <v>5.5</v>
      </c>
      <c r="J61" s="60" t="n">
        <f aca="false">SUM(J53:J60)</f>
        <v>5.5</v>
      </c>
      <c r="K61" s="60" t="n">
        <f aca="false">SUM(K53:K60)</f>
        <v>4</v>
      </c>
      <c r="L61" s="60" t="n">
        <f aca="false">SUM(L53:L60)</f>
        <v>5.5</v>
      </c>
      <c r="M61" s="60" t="n">
        <f aca="false">SUM(M53:M60)</f>
        <v>5.5</v>
      </c>
      <c r="N61" s="60" t="n">
        <f aca="false">SUM(N53:N60)</f>
        <v>9</v>
      </c>
      <c r="O61" s="60" t="n">
        <f aca="false">SUM(O53:O60)</f>
        <v>11</v>
      </c>
      <c r="P61" s="60" t="n">
        <f aca="false">SUM(P53:P60)</f>
        <v>15.5</v>
      </c>
      <c r="Q61" s="60" t="n">
        <f aca="false">SUM(Q53:Q60)</f>
        <v>18</v>
      </c>
      <c r="R61" s="60" t="n">
        <f aca="false">SUM(R53:R60)</f>
        <v>18.5</v>
      </c>
      <c r="S61" s="60" t="n">
        <f aca="false">SUM(S53:S60)</f>
        <v>18.5</v>
      </c>
      <c r="T61" s="60" t="n">
        <f aca="false">SUM(T53:T60)</f>
        <v>18.5</v>
      </c>
      <c r="U61" s="60" t="n">
        <f aca="false">SUM(U53:U60)</f>
        <v>18.5</v>
      </c>
      <c r="V61" s="60" t="n">
        <f aca="false">SUM(V53:V60)</f>
        <v>18.5</v>
      </c>
      <c r="W61" s="60" t="n">
        <f aca="false">SUM(W53:W60)</f>
        <v>18.5</v>
      </c>
      <c r="X61" s="60" t="n">
        <f aca="false">SUM(X53:X60)</f>
        <v>13.5</v>
      </c>
      <c r="Y61" s="60" t="n">
        <f aca="false">SUM(Y53:Y60)</f>
        <v>13.5</v>
      </c>
      <c r="Z61" s="60" t="n">
        <f aca="false">SUM(Z53:Z60)</f>
        <v>13.5</v>
      </c>
      <c r="AA61" s="60" t="n">
        <f aca="false">SUM(AA53:AA60)</f>
        <v>13.5</v>
      </c>
      <c r="AB61" s="60" t="n">
        <f aca="false">SUM(AB53:AB60)</f>
        <v>13.5</v>
      </c>
      <c r="AC61" s="60" t="n">
        <f aca="false">SUM(AC53:AC60)</f>
        <v>13.5</v>
      </c>
      <c r="AD61" s="60" t="n">
        <f aca="false">SUM(AD53:AD60)</f>
        <v>13.5</v>
      </c>
      <c r="AE61" s="60" t="n">
        <f aca="false">SUM(AE53:AE60)</f>
        <v>11</v>
      </c>
      <c r="AF61" s="60" t="n">
        <f aca="false">SUM(AF53:AF60)</f>
        <v>9.5</v>
      </c>
      <c r="AG61" s="60" t="n">
        <f aca="false">SUM(AG53:AG60)</f>
        <v>7.5</v>
      </c>
      <c r="AH61" s="60" t="n">
        <f aca="false">SUM(AH53:AH60)</f>
        <v>5.5</v>
      </c>
      <c r="AI61" s="60" t="n">
        <f aca="false">SUM(AI53:AI60)</f>
        <v>5.5</v>
      </c>
      <c r="AJ61" s="60" t="n">
        <f aca="false">SUM(AJ53:AJ60)</f>
        <v>5.5</v>
      </c>
      <c r="AK61" s="60" t="n">
        <f aca="false">SUM(AK53:AK60)</f>
        <v>3</v>
      </c>
      <c r="AL61" s="60" t="n">
        <f aca="false">SUM(AL53:AL60)</f>
        <v>3</v>
      </c>
      <c r="AM61" s="60" t="n">
        <f aca="false">SUM(AM53:AM60)</f>
        <v>3</v>
      </c>
      <c r="AN61" s="60" t="n">
        <f aca="false">SUM(AN53:AN60)</f>
        <v>1.5</v>
      </c>
      <c r="AO61" s="60" t="n">
        <f aca="false">SUM(AO53:AO60)</f>
        <v>1.5</v>
      </c>
      <c r="AP61" s="60" t="n">
        <f aca="false">SUM(AP53:AP60)</f>
        <v>0</v>
      </c>
      <c r="AQ61" s="60" t="n">
        <f aca="false">SUM(AQ53:AQ60)</f>
        <v>0</v>
      </c>
      <c r="AR61" s="60" t="n">
        <f aca="false">SUM(AR53:AR60)</f>
        <v>0</v>
      </c>
      <c r="AS61" s="60" t="n">
        <f aca="false">SUM(AS53:AS60)</f>
        <v>0</v>
      </c>
      <c r="AT61" s="60" t="n">
        <f aca="false">SUM(AT53:AT60)</f>
        <v>0</v>
      </c>
      <c r="AU61" s="60" t="n">
        <f aca="false">SUM(AU53:AU60)</f>
        <v>0</v>
      </c>
      <c r="AV61" s="60" t="n">
        <f aca="false">SUM(AV53:AV60)</f>
        <v>0</v>
      </c>
      <c r="AW61" s="60" t="n">
        <f aca="false">SUM(AW53:AW60)</f>
        <v>0</v>
      </c>
      <c r="AX61" s="60" t="n">
        <f aca="false">SUM(AX53:AX60)</f>
        <v>0</v>
      </c>
      <c r="AY61" s="60" t="n">
        <f aca="false">SUM(AY53:AY60)</f>
        <v>0</v>
      </c>
      <c r="AZ61" s="60" t="n">
        <f aca="false">SUM(AZ53:AZ60)</f>
        <v>0</v>
      </c>
      <c r="BA61" s="60" t="n">
        <f aca="false">SUM(BA53:BA60)</f>
        <v>0</v>
      </c>
      <c r="BB61" s="60" t="n">
        <f aca="false">SUM(BB53:BB60)</f>
        <v>0</v>
      </c>
      <c r="BC61" s="60" t="n">
        <f aca="false">SUM(BC53:BC60)</f>
        <v>0</v>
      </c>
      <c r="BD61" s="60" t="n">
        <f aca="false">SUM(BD53:BD60)</f>
        <v>0</v>
      </c>
      <c r="BE61" s="60" t="n">
        <f aca="false">SUM(BE53:BE60)</f>
        <v>0</v>
      </c>
      <c r="BF61" s="60" t="n">
        <f aca="false">SUM(BF53:BF60)</f>
        <v>0</v>
      </c>
      <c r="BG61" s="60" t="n">
        <f aca="false">SUM(BG53:BG60)</f>
        <v>0</v>
      </c>
      <c r="BH61" s="60" t="n">
        <f aca="false">SUM(BH53:BH60)</f>
        <v>0</v>
      </c>
      <c r="BI61" s="60" t="n">
        <f aca="false">SUM(BI53:BI60)</f>
        <v>0</v>
      </c>
      <c r="BJ61" s="60" t="n">
        <f aca="false">SUM(BJ53:BJ60)</f>
        <v>0</v>
      </c>
      <c r="BK61" s="60" t="n">
        <f aca="false">SUM(BK53:BK60)</f>
        <v>0</v>
      </c>
      <c r="BL61" s="60" t="n">
        <f aca="false">SUM(BL53:BL60)</f>
        <v>0</v>
      </c>
      <c r="BM61" s="60" t="n">
        <f aca="false">SUM(BM53:BM60)</f>
        <v>0</v>
      </c>
      <c r="BN61" s="60" t="n">
        <f aca="false">SUM(BN53:BN60)</f>
        <v>0</v>
      </c>
      <c r="BO61" s="60" t="n">
        <f aca="false">SUM(BO53:BO60)</f>
        <v>0</v>
      </c>
      <c r="BP61" s="60" t="n">
        <f aca="false">SUM(BP53:BP60)</f>
        <v>0</v>
      </c>
      <c r="BQ61" s="60" t="n">
        <f aca="false">SUM(BQ53:BQ60)</f>
        <v>0</v>
      </c>
      <c r="BR61" s="60" t="n">
        <f aca="false">SUM(BR53:BR60)</f>
        <v>0</v>
      </c>
      <c r="BS61" s="60" t="n">
        <f aca="false">SUM(BS53:BS60)</f>
        <v>0</v>
      </c>
      <c r="BT61" s="60" t="n">
        <f aca="false">SUM(BT53:BT60)</f>
        <v>0</v>
      </c>
      <c r="BU61" s="60" t="n">
        <f aca="false">SUM(BU53:BU60)</f>
        <v>0</v>
      </c>
      <c r="BV61" s="60" t="n">
        <f aca="false">SUM(BV53:BV60)</f>
        <v>0</v>
      </c>
      <c r="BW61" s="60" t="n">
        <f aca="false">SUM(BW53:BW60)</f>
        <v>0</v>
      </c>
      <c r="BX61" s="60" t="n">
        <f aca="false">SUM(BX53:BX60)</f>
        <v>0</v>
      </c>
      <c r="BY61" s="60" t="n">
        <f aca="false">SUM(BY53:BY60)</f>
        <v>0</v>
      </c>
      <c r="BZ61" s="60" t="n">
        <f aca="false">SUM(BZ53:BZ60)</f>
        <v>0</v>
      </c>
      <c r="CA61" s="60" t="n">
        <f aca="false">SUM(CA53:CA60)</f>
        <v>0</v>
      </c>
      <c r="CB61" s="60" t="n">
        <f aca="false">SUM(CB53:CB60)</f>
        <v>0</v>
      </c>
      <c r="CC61" s="60" t="n">
        <f aca="false">SUM(CC53:CC60)</f>
        <v>0</v>
      </c>
      <c r="CD61" s="60" t="n">
        <f aca="false">SUM(CD53:CD60)</f>
        <v>0</v>
      </c>
      <c r="CE61" s="60" t="n">
        <f aca="false">SUM(CE53:CE60)</f>
        <v>0</v>
      </c>
      <c r="CF61" s="60" t="n">
        <f aca="false">SUM(CF53:CF60)</f>
        <v>0</v>
      </c>
      <c r="CG61" s="60" t="n">
        <f aca="false">SUM(CG53:CG60)</f>
        <v>0</v>
      </c>
      <c r="CH61" s="60" t="n">
        <f aca="false">SUM(CH53:CH60)</f>
        <v>0</v>
      </c>
      <c r="CI61" s="60" t="n">
        <f aca="false">SUM(CI53:CI60)</f>
        <v>0</v>
      </c>
      <c r="CJ61" s="60" t="n">
        <f aca="false">SUM(CJ53:CJ60)</f>
        <v>0</v>
      </c>
      <c r="CK61" s="60" t="n">
        <f aca="false">SUM(CK53:CK60)</f>
        <v>0</v>
      </c>
      <c r="CL61" s="60" t="n">
        <f aca="false">SUM(CL53:CL60)</f>
        <v>0</v>
      </c>
      <c r="CM61" s="60" t="n">
        <f aca="false">SUM(CM53:CM60)</f>
        <v>0</v>
      </c>
      <c r="CN61" s="60" t="n">
        <f aca="false">SUM(CN53:CN60)</f>
        <v>0</v>
      </c>
      <c r="CO61" s="60" t="n">
        <f aca="false">SUM(CO53:CO60)</f>
        <v>0</v>
      </c>
      <c r="CP61" s="60" t="n">
        <f aca="false">SUM(CP53:CP60)</f>
        <v>0</v>
      </c>
      <c r="CQ61" s="60" t="n">
        <f aca="false">SUM(CQ53:CQ60)</f>
        <v>0</v>
      </c>
      <c r="CR61" s="60" t="n">
        <f aca="false">SUM(CR53:CR60)</f>
        <v>0</v>
      </c>
      <c r="CS61" s="60" t="n">
        <f aca="false">SUM(CS53:CS60)</f>
        <v>0</v>
      </c>
      <c r="CT61" s="60" t="n">
        <f aca="false">SUM(CT53:CT60)</f>
        <v>0</v>
      </c>
      <c r="CU61" s="60" t="n">
        <f aca="false">SUM(CU53:CU60)</f>
        <v>0</v>
      </c>
      <c r="CV61" s="60" t="n">
        <f aca="false">SUM(CV53:CV60)</f>
        <v>0</v>
      </c>
      <c r="CW61" s="60" t="n">
        <f aca="false">SUM(CW53:CW60)</f>
        <v>0</v>
      </c>
      <c r="CX61" s="60" t="n">
        <f aca="false">SUM(CX53:CX60)</f>
        <v>0</v>
      </c>
      <c r="CY61" s="60" t="n">
        <f aca="false">SUM(CY53:CY60)</f>
        <v>0</v>
      </c>
      <c r="CZ61" s="60" t="n">
        <f aca="false">SUM(CZ53:CZ60)</f>
        <v>0</v>
      </c>
      <c r="DA61" s="60" t="n">
        <f aca="false">SUM(DA53:DA60)</f>
        <v>0</v>
      </c>
      <c r="DB61" s="60" t="n">
        <f aca="false">SUM(DB53:DB60)</f>
        <v>0</v>
      </c>
      <c r="DC61" s="60" t="n">
        <f aca="false">SUM(DC53:DC60)</f>
        <v>0</v>
      </c>
      <c r="DD61" s="60" t="n">
        <f aca="false">SUM(DD53:DD60)</f>
        <v>0</v>
      </c>
      <c r="DE61" s="60" t="n">
        <f aca="false">SUM(DE53:DE60)</f>
        <v>0</v>
      </c>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row>
    <row r="64" customFormat="false" ht="15" hidden="false" customHeight="false" outlineLevel="0" collapsed="false">
      <c r="A64" s="19" t="s">
        <v>590</v>
      </c>
      <c r="B64" s="20"/>
      <c r="C64" s="20"/>
      <c r="D64" s="20"/>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row>
    <row r="65" customFormat="false" ht="15" hidden="false" customHeight="false" outlineLevel="0" collapsed="false">
      <c r="A65" s="9" t="s">
        <v>70</v>
      </c>
      <c r="B65" s="2"/>
      <c r="C65" s="2"/>
      <c r="D65" s="61" t="n">
        <f aca="false">MAX(PlanHeadcount)</f>
        <v>18.5</v>
      </c>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row>
    <row r="66" customFormat="false" ht="15" hidden="false" customHeight="false" outlineLevel="0" collapsed="false">
      <c r="A66" s="9" t="s">
        <v>591</v>
      </c>
      <c r="B66" s="2"/>
      <c r="C66" s="2"/>
      <c r="D66" s="61" t="n">
        <f aca="false">IF(DurationWeeks&gt;0,SUM(PlanHeadcount)/DurationWeeks,0)</f>
        <v>9.81944444444445</v>
      </c>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row>
    <row r="67" customFormat="false" ht="15" hidden="false" customHeight="false" outlineLevel="0" collapsed="false">
      <c r="A67" s="9" t="s">
        <v>592</v>
      </c>
      <c r="B67" s="2"/>
      <c r="C67" s="2"/>
      <c r="D67" s="61" t="n">
        <f aca="false">IF(RepWeeks&gt;0,SUMIFS(PlanHeadcount,PlanWeeks,"&gt;="&amp;RepStart,PlanWeeks,"&lt;="&amp;RepEnd)/RepWeeks,0)</f>
        <v>14.35</v>
      </c>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row>
    <row r="68" customFormat="false" ht="15" hidden="false" customHeight="false" outlineLevel="0" collapsed="false">
      <c r="A68" s="9" t="s">
        <v>593</v>
      </c>
      <c r="B68" s="2"/>
      <c r="C68" s="2"/>
      <c r="D68" s="61" t="n">
        <f aca="false">SUM(PlanHeadcount)</f>
        <v>353.5</v>
      </c>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row>
    <row r="69" customFormat="false" ht="15" hidden="false" customHeight="false" outlineLevel="0" collapsed="false">
      <c r="A69" s="9" t="s">
        <v>594</v>
      </c>
      <c r="B69" s="2"/>
      <c r="C69" s="2"/>
      <c r="D69" s="53" t="n">
        <f aca="false">IF(TotalBaseHrs&gt;0,PlanHrs/TotalBaseHrs-1,0)</f>
        <v>-0.0128871214880721</v>
      </c>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row>
  </sheetData>
  <sheetProtection sheet="true" formatColumns="false" formatRows="false"/>
  <conditionalFormatting sqref="F8:DE18">
    <cfRule type="cellIs" priority="2" operator="greaterThan" aboveAverage="0" equalAverage="0" bottom="0" percent="0" rank="0" text="" dxfId="2">
      <formula>0</formula>
    </cfRule>
  </conditionalFormatting>
  <conditionalFormatting sqref="F53:DE60">
    <cfRule type="cellIs" priority="3" operator="greaterThan" aboveAverage="0" equalAverage="0" bottom="0" percent="0" rank="0" text="" dxfId="3">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5" min="3" style="0" width="14"/>
    <col collapsed="false" customWidth="true" hidden="false" outlineLevel="0" max="6" min="6" style="0" width="16"/>
    <col collapsed="false" customWidth="true" hidden="false" outlineLevel="0" max="7" min="7" style="0" width="14"/>
  </cols>
  <sheetData>
    <row r="1" customFormat="false" ht="19.7" hidden="false" customHeight="false" outlineLevel="0" collapsed="false">
      <c r="A1" s="1" t="s">
        <v>47</v>
      </c>
      <c r="B1" s="2"/>
      <c r="C1" s="2"/>
      <c r="D1" s="2"/>
      <c r="E1" s="2"/>
      <c r="F1" s="2"/>
      <c r="G1" s="2"/>
    </row>
    <row r="2" customFormat="false" ht="15" hidden="false" customHeight="false" outlineLevel="0" collapsed="false">
      <c r="A2" s="3" t="s">
        <v>595</v>
      </c>
      <c r="B2" s="2"/>
      <c r="C2" s="2"/>
      <c r="D2" s="2"/>
      <c r="E2" s="2"/>
      <c r="F2" s="2"/>
      <c r="G2" s="2"/>
    </row>
    <row r="3" customFormat="false" ht="15" hidden="false" customHeight="false" outlineLevel="0" collapsed="false">
      <c r="A3" s="2"/>
      <c r="B3" s="2"/>
      <c r="C3" s="2"/>
      <c r="D3" s="2"/>
      <c r="E3" s="2"/>
      <c r="F3" s="2"/>
      <c r="G3" s="2"/>
    </row>
    <row r="4" customFormat="false" ht="15" hidden="false" customHeight="false" outlineLevel="0" collapsed="false">
      <c r="A4" s="19" t="s">
        <v>596</v>
      </c>
      <c r="B4" s="20"/>
      <c r="C4" s="20"/>
      <c r="D4" s="20"/>
      <c r="E4" s="20"/>
      <c r="F4" s="20"/>
      <c r="G4" s="20"/>
    </row>
    <row r="5" customFormat="false" ht="30" hidden="false" customHeight="true" outlineLevel="0" collapsed="false">
      <c r="A5" s="21" t="s">
        <v>188</v>
      </c>
      <c r="B5" s="21" t="s">
        <v>252</v>
      </c>
      <c r="C5" s="21" t="s">
        <v>80</v>
      </c>
      <c r="D5" s="21" t="s">
        <v>75</v>
      </c>
      <c r="E5" s="21" t="s">
        <v>81</v>
      </c>
      <c r="F5" s="21" t="s">
        <v>77</v>
      </c>
      <c r="G5" s="21" t="s">
        <v>588</v>
      </c>
    </row>
    <row r="6" customFormat="false" ht="15" hidden="false" customHeight="false" outlineLevel="0" collapsed="false">
      <c r="A6" s="9" t="n">
        <v>1</v>
      </c>
      <c r="B6" s="9" t="str">
        <f aca="false">Roles!B6</f>
        <v>Delivery manager / PM</v>
      </c>
      <c r="C6" s="9" t="str">
        <f aca="false">Roles!E6</f>
        <v>India</v>
      </c>
      <c r="D6" s="22" t="n">
        <f aca="false">SUMPRODUCT(PhaseHours,Roles!$C$18:$C$28)</f>
        <v>1440</v>
      </c>
      <c r="E6" s="25" t="n">
        <f aca="false">Roles!D6</f>
        <v>82</v>
      </c>
      <c r="F6" s="24" t="n">
        <f aca="false">D6*E6</f>
        <v>118080</v>
      </c>
      <c r="G6" s="22" t="n">
        <f aca="false">Plan!D53</f>
        <v>1440</v>
      </c>
    </row>
    <row r="7" customFormat="false" ht="15" hidden="false" customHeight="false" outlineLevel="0" collapsed="false">
      <c r="A7" s="9" t="n">
        <v>2</v>
      </c>
      <c r="B7" s="9" t="str">
        <f aca="false">Roles!B7</f>
        <v>Onsite architect</v>
      </c>
      <c r="C7" s="9" t="str">
        <f aca="false">Roles!E7</f>
        <v>USA</v>
      </c>
      <c r="D7" s="22" t="n">
        <f aca="false">SUMPRODUCT(PhaseHours,Roles!$D$18:$D$28)</f>
        <v>170.6</v>
      </c>
      <c r="E7" s="25" t="n">
        <f aca="false">Roles!D7</f>
        <v>185</v>
      </c>
      <c r="F7" s="24" t="n">
        <f aca="false">D7*E7</f>
        <v>31561</v>
      </c>
      <c r="G7" s="22" t="n">
        <f aca="false">Plan!D54</f>
        <v>160</v>
      </c>
    </row>
    <row r="8" customFormat="false" ht="15" hidden="false" customHeight="false" outlineLevel="0" collapsed="false">
      <c r="A8" s="9" t="n">
        <v>3</v>
      </c>
      <c r="B8" s="9" t="str">
        <f aca="false">Roles!B8</f>
        <v>Solution architect</v>
      </c>
      <c r="C8" s="9" t="str">
        <f aca="false">Roles!E8</f>
        <v>India</v>
      </c>
      <c r="D8" s="22" t="n">
        <f aca="false">SUMPRODUCT(PhaseHours,Roles!$E$18:$E$28)</f>
        <v>259.1</v>
      </c>
      <c r="E8" s="25" t="n">
        <f aca="false">Roles!D8</f>
        <v>87</v>
      </c>
      <c r="F8" s="24" t="n">
        <f aca="false">D8*E8</f>
        <v>22541.7</v>
      </c>
      <c r="G8" s="22" t="n">
        <f aca="false">Plan!D55</f>
        <v>280</v>
      </c>
    </row>
    <row r="9" customFormat="false" ht="15" hidden="false" customHeight="false" outlineLevel="0" collapsed="false">
      <c r="A9" s="9" t="n">
        <v>4</v>
      </c>
      <c r="B9" s="9" t="str">
        <f aca="false">Roles!B9</f>
        <v>BI architect</v>
      </c>
      <c r="C9" s="9" t="str">
        <f aca="false">Roles!E9</f>
        <v>India</v>
      </c>
      <c r="D9" s="22" t="n">
        <f aca="false">SUMPRODUCT(PhaseHours,Roles!$F$18:$F$28)</f>
        <v>765.891</v>
      </c>
      <c r="E9" s="25" t="n">
        <f aca="false">Roles!D9</f>
        <v>70</v>
      </c>
      <c r="F9" s="24" t="n">
        <f aca="false">D9*E9</f>
        <v>53612.37</v>
      </c>
      <c r="G9" s="22" t="n">
        <f aca="false">Plan!D56</f>
        <v>720</v>
      </c>
    </row>
    <row r="10" customFormat="false" ht="15" hidden="false" customHeight="false" outlineLevel="0" collapsed="false">
      <c r="A10" s="9" t="n">
        <v>5</v>
      </c>
      <c r="B10" s="9" t="str">
        <f aca="false">Roles!B10</f>
        <v>Lead</v>
      </c>
      <c r="C10" s="9" t="str">
        <f aca="false">Roles!E10</f>
        <v>India</v>
      </c>
      <c r="D10" s="22" t="n">
        <f aca="false">SUMPRODUCT(PhaseHours,Roles!$G$18:$G$28)</f>
        <v>1693.25728978125</v>
      </c>
      <c r="E10" s="25" t="n">
        <f aca="false">Roles!D10</f>
        <v>70</v>
      </c>
      <c r="F10" s="24" t="n">
        <f aca="false">D10*E10</f>
        <v>118528.010284688</v>
      </c>
      <c r="G10" s="22" t="n">
        <f aca="false">Plan!D57</f>
        <v>1600</v>
      </c>
    </row>
    <row r="11" customFormat="false" ht="15" hidden="false" customHeight="false" outlineLevel="0" collapsed="false">
      <c r="A11" s="9" t="n">
        <v>6</v>
      </c>
      <c r="B11" s="9" t="str">
        <f aca="false">Roles!B11</f>
        <v>Sr. engineer</v>
      </c>
      <c r="C11" s="9" t="str">
        <f aca="false">Roles!E11</f>
        <v>India</v>
      </c>
      <c r="D11" s="22" t="n">
        <f aca="false">SUMPRODUCT(PhaseHours,Roles!$H$18:$H$28)</f>
        <v>3884.16886934375</v>
      </c>
      <c r="E11" s="25" t="n">
        <f aca="false">Roles!D11</f>
        <v>62</v>
      </c>
      <c r="F11" s="24" t="n">
        <f aca="false">D11*E11</f>
        <v>240818.469899312</v>
      </c>
      <c r="G11" s="22" t="n">
        <f aca="false">Plan!D58</f>
        <v>3920</v>
      </c>
    </row>
    <row r="12" customFormat="false" ht="15" hidden="false" customHeight="false" outlineLevel="0" collapsed="false">
      <c r="A12" s="9" t="n">
        <v>7</v>
      </c>
      <c r="B12" s="9" t="str">
        <f aca="false">Roles!B12</f>
        <v>Engineer</v>
      </c>
      <c r="C12" s="9" t="str">
        <f aca="false">Roles!E12</f>
        <v>India</v>
      </c>
      <c r="D12" s="22" t="n">
        <f aca="false">SUMPRODUCT(PhaseHours,Roles!$I$18:$I$28)</f>
        <v>4823.5857386875</v>
      </c>
      <c r="E12" s="25" t="n">
        <f aca="false">Roles!D12</f>
        <v>50</v>
      </c>
      <c r="F12" s="24" t="n">
        <f aca="false">D12*E12</f>
        <v>241179.286934375</v>
      </c>
      <c r="G12" s="22" t="n">
        <f aca="false">Plan!D59</f>
        <v>4760</v>
      </c>
    </row>
    <row r="13" customFormat="false" ht="15" hidden="false" customHeight="false" outlineLevel="0" collapsed="false">
      <c r="A13" s="9" t="n">
        <v>8</v>
      </c>
      <c r="B13" s="9" t="str">
        <f aca="false">Roles!B13</f>
        <v>QA engineer</v>
      </c>
      <c r="C13" s="9" t="str">
        <f aca="false">Roles!E13</f>
        <v>India</v>
      </c>
      <c r="D13" s="22" t="n">
        <f aca="false">SUMPRODUCT(PhaseHours,Roles!$J$18:$J$28)</f>
        <v>1288</v>
      </c>
      <c r="E13" s="25" t="n">
        <f aca="false">Roles!D13</f>
        <v>57.5</v>
      </c>
      <c r="F13" s="24" t="n">
        <f aca="false">D13*E13</f>
        <v>74060</v>
      </c>
      <c r="G13" s="22" t="n">
        <f aca="false">Plan!D60</f>
        <v>1260</v>
      </c>
    </row>
    <row r="14" customFormat="false" ht="15" hidden="false" customHeight="false" outlineLevel="0" collapsed="false">
      <c r="A14" s="2"/>
      <c r="B14" s="26" t="s">
        <v>91</v>
      </c>
      <c r="C14" s="2"/>
      <c r="D14" s="27" t="n">
        <f aca="false">SUM(D6:D13)</f>
        <v>14324.6028978125</v>
      </c>
      <c r="E14" s="2"/>
      <c r="F14" s="28" t="n">
        <f aca="false">SUM(F6:F13)</f>
        <v>900380.837118375</v>
      </c>
      <c r="G14" s="27" t="n">
        <f aca="false">SUM(G6:G13)</f>
        <v>14140</v>
      </c>
    </row>
    <row r="15" customFormat="false" ht="15" hidden="false" customHeight="false" outlineLevel="0" collapsed="false">
      <c r="A15" s="2"/>
      <c r="B15" s="9" t="s">
        <v>597</v>
      </c>
      <c r="C15" s="2"/>
      <c r="D15" s="2"/>
      <c r="E15" s="2"/>
      <c r="F15" s="25" t="n">
        <f aca="false">IF(RoleHrsTotal&gt;0,RoleCostTotal/RoleHrsTotal,0)</f>
        <v>62.8555530328783</v>
      </c>
      <c r="G15" s="2"/>
    </row>
    <row r="16" customFormat="false" ht="15" hidden="false" customHeight="false" outlineLevel="0" collapsed="false">
      <c r="A16" s="2"/>
      <c r="B16" s="9" t="s">
        <v>598</v>
      </c>
      <c r="C16" s="2"/>
      <c r="D16" s="2"/>
      <c r="E16" s="2"/>
      <c r="F16" s="23" t="n">
        <f aca="false">IF(RoleHrsTotal&gt;0,SUMIFS(RoleHrs,RoleLocCol,"USA")/RoleHrsTotal,0)</f>
        <v>0.0119095797082132</v>
      </c>
      <c r="G16" s="2"/>
    </row>
    <row r="17" customFormat="false" ht="15" hidden="false" customHeight="false" outlineLevel="0" collapsed="false">
      <c r="A17" s="2"/>
      <c r="B17" s="2"/>
      <c r="C17" s="2"/>
      <c r="D17" s="2"/>
      <c r="E17" s="2"/>
      <c r="F17" s="2"/>
      <c r="G17" s="2"/>
    </row>
    <row r="18" customFormat="false" ht="15" hidden="false" customHeight="false" outlineLevel="0" collapsed="false">
      <c r="A18" s="2"/>
      <c r="B18" s="2"/>
      <c r="C18" s="2"/>
      <c r="D18" s="2"/>
      <c r="E18" s="2"/>
      <c r="F18" s="2"/>
      <c r="G18" s="2"/>
    </row>
    <row r="19" customFormat="false" ht="15" hidden="false" customHeight="false" outlineLevel="0" collapsed="false">
      <c r="A19" s="19" t="s">
        <v>599</v>
      </c>
      <c r="B19" s="20"/>
      <c r="C19" s="20"/>
      <c r="D19" s="20"/>
      <c r="E19" s="20"/>
      <c r="F19" s="20"/>
      <c r="G19" s="20"/>
    </row>
    <row r="20" customFormat="false" ht="30" hidden="false" customHeight="true" outlineLevel="0" collapsed="false">
      <c r="A20" s="21" t="s">
        <v>188</v>
      </c>
      <c r="B20" s="21" t="s">
        <v>74</v>
      </c>
      <c r="C20" s="21" t="s">
        <v>75</v>
      </c>
      <c r="D20" s="21" t="s">
        <v>600</v>
      </c>
      <c r="E20" s="21" t="s">
        <v>77</v>
      </c>
      <c r="F20" s="2"/>
      <c r="G20" s="2"/>
    </row>
    <row r="21" customFormat="false" ht="15" hidden="false" customHeight="false" outlineLevel="0" collapsed="false">
      <c r="A21" s="9" t="n">
        <v>1</v>
      </c>
      <c r="B21" s="9" t="s">
        <v>82</v>
      </c>
      <c r="C21" s="22" t="n">
        <f aca="false">INDEX(PhaseHours,1)</f>
        <v>693</v>
      </c>
      <c r="D21" s="25" t="n">
        <f aca="false">IF(CostMode="Blended",BlendedRate,SUMPRODUCT(MMULT(Roles!$C$18:$J$18,RoleRates)))</f>
        <v>98.1</v>
      </c>
      <c r="E21" s="24" t="n">
        <f aca="false">C21*D21</f>
        <v>67983.3</v>
      </c>
      <c r="F21" s="2"/>
      <c r="G21" s="2"/>
    </row>
    <row r="22" customFormat="false" ht="15" hidden="false" customHeight="false" outlineLevel="0" collapsed="false">
      <c r="A22" s="9" t="n">
        <v>2</v>
      </c>
      <c r="B22" s="9" t="s">
        <v>83</v>
      </c>
      <c r="C22" s="22" t="n">
        <f aca="false">INDEX(PhaseHours,2)</f>
        <v>128</v>
      </c>
      <c r="D22" s="25" t="n">
        <f aca="false">IF(CostMode="Blended",BlendedRate,SUMPRODUCT(MMULT(Roles!$C$19:$J$19,RoleRates)))</f>
        <v>105.55</v>
      </c>
      <c r="E22" s="24" t="n">
        <f aca="false">C22*D22</f>
        <v>13510.4</v>
      </c>
      <c r="F22" s="2"/>
      <c r="G22" s="2"/>
    </row>
    <row r="23" customFormat="false" ht="15" hidden="false" customHeight="false" outlineLevel="0" collapsed="false">
      <c r="A23" s="9" t="n">
        <v>3</v>
      </c>
      <c r="B23" s="9" t="s">
        <v>84</v>
      </c>
      <c r="C23" s="22" t="n">
        <f aca="false">INDEX(PhaseHours,3)</f>
        <v>2377.94</v>
      </c>
      <c r="D23" s="25" t="n">
        <f aca="false">IF(CostMode="Blended",BlendedRate,SUMPRODUCT(MMULT(Roles!$C$20:$J$20,RoleRates)))</f>
        <v>62</v>
      </c>
      <c r="E23" s="24" t="n">
        <f aca="false">C23*D23</f>
        <v>147432.28</v>
      </c>
      <c r="F23" s="2"/>
      <c r="G23" s="2"/>
    </row>
    <row r="24" customFormat="false" ht="15" hidden="false" customHeight="false" outlineLevel="0" collapsed="false">
      <c r="A24" s="9" t="n">
        <v>4</v>
      </c>
      <c r="B24" s="9" t="s">
        <v>85</v>
      </c>
      <c r="C24" s="22" t="n">
        <f aca="false">INDEX(PhaseHours,4)</f>
        <v>6206.6628978125</v>
      </c>
      <c r="D24" s="25" t="n">
        <f aca="false">IF(CostMode="Blended",BlendedRate,SUMPRODUCT(MMULT(Roles!$C$21:$J$21,RoleRates)))</f>
        <v>55.6</v>
      </c>
      <c r="E24" s="24" t="n">
        <f aca="false">C24*D24</f>
        <v>345090.457118375</v>
      </c>
      <c r="F24" s="2"/>
      <c r="G24" s="2"/>
    </row>
    <row r="25" customFormat="false" ht="15" hidden="false" customHeight="false" outlineLevel="0" collapsed="false">
      <c r="A25" s="9" t="n">
        <v>5</v>
      </c>
      <c r="B25" s="9" t="s">
        <v>86</v>
      </c>
      <c r="C25" s="22" t="n">
        <f aca="false">INDEX(PhaseHours,5)</f>
        <v>1840</v>
      </c>
      <c r="D25" s="25" t="n">
        <f aca="false">IF(CostMode="Blended",BlendedRate,SUMPRODUCT(MMULT(Roles!$C$22:$J$22,RoleRates)))</f>
        <v>57.25</v>
      </c>
      <c r="E25" s="24" t="n">
        <f aca="false">C25*D25</f>
        <v>105340</v>
      </c>
      <c r="F25" s="2"/>
      <c r="G25" s="2"/>
    </row>
    <row r="26" customFormat="false" ht="15" hidden="false" customHeight="false" outlineLevel="0" collapsed="false">
      <c r="A26" s="9" t="n">
        <v>6</v>
      </c>
      <c r="B26" s="9" t="s">
        <v>87</v>
      </c>
      <c r="C26" s="22" t="n">
        <f aca="false">INDEX(PhaseHours,6)</f>
        <v>440</v>
      </c>
      <c r="D26" s="25" t="n">
        <f aca="false">IF(CostMode="Blended",BlendedRate,SUMPRODUCT(MMULT(Roles!$C$23:$J$23,RoleRates)))</f>
        <v>58.8</v>
      </c>
      <c r="E26" s="24" t="n">
        <f aca="false">C26*D26</f>
        <v>25872</v>
      </c>
      <c r="F26" s="2"/>
      <c r="G26" s="2"/>
    </row>
    <row r="27" customFormat="false" ht="15" hidden="false" customHeight="false" outlineLevel="0" collapsed="false">
      <c r="A27" s="9" t="n">
        <v>7</v>
      </c>
      <c r="B27" s="9" t="s">
        <v>88</v>
      </c>
      <c r="C27" s="22" t="n">
        <f aca="false">INDEX(PhaseHours,7)</f>
        <v>400</v>
      </c>
      <c r="D27" s="25" t="n">
        <f aca="false">IF(CostMode="Blended",BlendedRate,SUMPRODUCT(MMULT(Roles!$C$24:$J$24,RoleRates)))</f>
        <v>64.4</v>
      </c>
      <c r="E27" s="24" t="n">
        <f aca="false">C27*D27</f>
        <v>25760</v>
      </c>
      <c r="F27" s="2"/>
      <c r="G27" s="2"/>
    </row>
    <row r="28" customFormat="false" ht="15" hidden="false" customHeight="false" outlineLevel="0" collapsed="false">
      <c r="A28" s="9" t="n">
        <v>8</v>
      </c>
      <c r="B28" s="9" t="s">
        <v>89</v>
      </c>
      <c r="C28" s="22" t="n">
        <f aca="false">INDEX(PhaseHours,8)</f>
        <v>320</v>
      </c>
      <c r="D28" s="25" t="n">
        <f aca="false">IF(CostMode="Blended",BlendedRate,SUMPRODUCT(MMULT(Roles!$C$25:$J$25,RoleRates)))</f>
        <v>61</v>
      </c>
      <c r="E28" s="24" t="n">
        <f aca="false">C28*D28</f>
        <v>19520</v>
      </c>
      <c r="F28" s="2"/>
      <c r="G28" s="2"/>
    </row>
    <row r="29" customFormat="false" ht="15" hidden="false" customHeight="false" outlineLevel="0" collapsed="false">
      <c r="A29" s="9" t="n">
        <v>9</v>
      </c>
      <c r="B29" s="9" t="s">
        <v>90</v>
      </c>
      <c r="C29" s="22" t="n">
        <f aca="false">INDEX(PhaseHours,9)</f>
        <v>351</v>
      </c>
      <c r="D29" s="25" t="n">
        <f aca="false">IF(CostMode="Blended",BlendedRate,SUMPRODUCT(MMULT(Roles!$C$26:$J$26,RoleRates)))</f>
        <v>66.8</v>
      </c>
      <c r="E29" s="24" t="n">
        <f aca="false">C29*D29</f>
        <v>23446.8</v>
      </c>
      <c r="F29" s="2"/>
      <c r="G29" s="2"/>
    </row>
    <row r="30" customFormat="false" ht="15" hidden="false" customHeight="false" outlineLevel="0" collapsed="false">
      <c r="A30" s="9" t="n">
        <v>10</v>
      </c>
      <c r="B30" s="9" t="s">
        <v>92</v>
      </c>
      <c r="C30" s="22" t="n">
        <f aca="false">INDEX(PhaseHours,10)</f>
        <v>128</v>
      </c>
      <c r="D30" s="25" t="n">
        <f aca="false">IF(CostMode="Blended",BlendedRate,SUMPRODUCT(MMULT(Roles!$C$27:$J$27,RoleRates)))</f>
        <v>65.2</v>
      </c>
      <c r="E30" s="24" t="n">
        <f aca="false">C30*D30</f>
        <v>8345.6</v>
      </c>
      <c r="F30" s="2"/>
      <c r="G30" s="2"/>
    </row>
    <row r="31" customFormat="false" ht="15" hidden="false" customHeight="false" outlineLevel="0" collapsed="false">
      <c r="A31" s="9" t="n">
        <v>11</v>
      </c>
      <c r="B31" s="9" t="s">
        <v>93</v>
      </c>
      <c r="C31" s="22" t="n">
        <f aca="false">INDEX(PhaseHours,11)</f>
        <v>1440</v>
      </c>
      <c r="D31" s="25" t="n">
        <f aca="false">IF(CostMode="Blended",BlendedRate,SUMPRODUCT(MMULT(Roles!$C$28:$J$28,RoleRates)))</f>
        <v>82</v>
      </c>
      <c r="E31" s="24" t="n">
        <f aca="false">C31*D31</f>
        <v>118080</v>
      </c>
      <c r="F31" s="2"/>
      <c r="G31" s="2"/>
    </row>
    <row r="32" customFormat="false" ht="15" hidden="false" customHeight="false" outlineLevel="0" collapsed="false">
      <c r="A32" s="2"/>
      <c r="B32" s="26" t="s">
        <v>91</v>
      </c>
      <c r="C32" s="27" t="n">
        <f aca="false">SUM(C21:C31)</f>
        <v>14324.6028978125</v>
      </c>
      <c r="D32" s="2"/>
      <c r="E32" s="28" t="n">
        <f aca="false">SUM(E21:E31)</f>
        <v>900380.837118375</v>
      </c>
      <c r="F32" s="2"/>
      <c r="G32" s="2"/>
    </row>
    <row r="33" customFormat="false" ht="15" hidden="false" customHeight="false" outlineLevel="0" collapsed="false">
      <c r="A33" s="2"/>
      <c r="B33" s="2"/>
      <c r="C33" s="2"/>
      <c r="D33" s="2"/>
      <c r="E33" s="2"/>
      <c r="F33" s="2"/>
      <c r="G33" s="2"/>
    </row>
    <row r="34" customFormat="false" ht="15" hidden="false" customHeight="false" outlineLevel="0" collapsed="false">
      <c r="A34" s="2"/>
      <c r="B34" s="2"/>
      <c r="C34" s="2"/>
      <c r="D34" s="2"/>
      <c r="E34" s="2"/>
      <c r="F34" s="2"/>
      <c r="G34" s="2"/>
    </row>
    <row r="35" customFormat="false" ht="15" hidden="false" customHeight="false" outlineLevel="0" collapsed="false">
      <c r="A35" s="19" t="s">
        <v>601</v>
      </c>
      <c r="B35" s="20"/>
      <c r="C35" s="20"/>
      <c r="D35" s="20"/>
      <c r="E35" s="20"/>
      <c r="F35" s="20"/>
      <c r="G35" s="20"/>
    </row>
    <row r="36" customFormat="false" ht="15" hidden="false" customHeight="false" outlineLevel="0" collapsed="false">
      <c r="A36" s="2"/>
      <c r="B36" s="9" t="s">
        <v>602</v>
      </c>
      <c r="C36" s="2"/>
      <c r="D36" s="2"/>
      <c r="E36" s="2"/>
      <c r="F36" s="24" t="n">
        <f aca="false">IF(CostMode="Blended",TotalBaseHrs*BlendedRate,RoleCostTotal)</f>
        <v>900380.837118375</v>
      </c>
      <c r="G36" s="2"/>
    </row>
    <row r="37" customFormat="false" ht="15" hidden="false" customHeight="false" outlineLevel="0" collapsed="false">
      <c r="A37" s="2"/>
      <c r="B37" s="9" t="s">
        <v>603</v>
      </c>
      <c r="C37" s="2"/>
      <c r="D37" s="2"/>
      <c r="E37" s="2"/>
      <c r="F37" s="25" t="n">
        <f aca="false">IF(TotalBaseHrs&gt;0,BaseCost/TotalBaseHrs,0)</f>
        <v>62.8555530328783</v>
      </c>
      <c r="G37" s="2"/>
    </row>
    <row r="38" customFormat="false" ht="15" hidden="false" customHeight="false" outlineLevel="0" collapsed="false">
      <c r="A38" s="2"/>
      <c r="B38" s="9" t="s">
        <v>604</v>
      </c>
      <c r="C38" s="2"/>
      <c r="D38" s="2"/>
      <c r="E38" s="2"/>
      <c r="F38" s="24" t="n">
        <f aca="false">ContHrs*EffRate</f>
        <v>163183.082951334</v>
      </c>
      <c r="G38" s="2"/>
    </row>
    <row r="39" customFormat="false" ht="15" hidden="false" customHeight="false" outlineLevel="0" collapsed="false">
      <c r="A39" s="2"/>
      <c r="B39" s="9" t="s">
        <v>605</v>
      </c>
      <c r="C39" s="2"/>
      <c r="D39" s="2"/>
      <c r="E39" s="2"/>
      <c r="F39" s="24" t="n">
        <f aca="false">RiskHrs*EffRate</f>
        <v>5656.99977295904</v>
      </c>
      <c r="G39" s="2"/>
    </row>
    <row r="40" customFormat="false" ht="15" hidden="false" customHeight="false" outlineLevel="0" collapsed="false">
      <c r="A40" s="2"/>
      <c r="B40" s="9" t="s">
        <v>606</v>
      </c>
      <c r="C40" s="2"/>
      <c r="D40" s="2"/>
      <c r="E40" s="2"/>
      <c r="F40" s="24" t="n">
        <f aca="false">BaseCost+ContCost+RiskCost</f>
        <v>1069220.91984267</v>
      </c>
      <c r="G40" s="2"/>
    </row>
    <row r="41" customFormat="false" ht="15" hidden="false" customHeight="false" outlineLevel="0" collapsed="false">
      <c r="A41" s="2"/>
      <c r="B41" s="9" t="s">
        <v>607</v>
      </c>
      <c r="C41" s="2"/>
      <c r="D41" s="2"/>
      <c r="E41" s="2"/>
      <c r="F41" s="24" t="n">
        <f aca="false">-ServicesGross*DiscountPct</f>
        <v>-0</v>
      </c>
      <c r="G41" s="2"/>
    </row>
    <row r="42" customFormat="false" ht="15" hidden="false" customHeight="false" outlineLevel="0" collapsed="false">
      <c r="A42" s="2"/>
      <c r="B42" s="9" t="s">
        <v>608</v>
      </c>
      <c r="C42" s="2"/>
      <c r="D42" s="2"/>
      <c r="E42" s="2"/>
      <c r="F42" s="24" t="n">
        <f aca="false">ServicesGross+DiscountAmt</f>
        <v>1069220.91984267</v>
      </c>
      <c r="G42" s="2"/>
    </row>
    <row r="43" customFormat="false" ht="15" hidden="false" customHeight="false" outlineLevel="0" collapsed="false">
      <c r="A43" s="2"/>
      <c r="B43" s="9" t="s">
        <v>609</v>
      </c>
      <c r="C43" s="2"/>
      <c r="D43" s="2"/>
      <c r="E43" s="2"/>
      <c r="F43" s="24" t="n">
        <f aca="false">PassTools+PassTravel+PassOther</f>
        <v>0</v>
      </c>
      <c r="G43" s="2"/>
    </row>
    <row r="44" customFormat="false" ht="15" hidden="false" customHeight="false" outlineLevel="0" collapsed="false">
      <c r="A44" s="2"/>
      <c r="B44" s="26" t="s">
        <v>610</v>
      </c>
      <c r="C44" s="2"/>
      <c r="D44" s="2"/>
      <c r="E44" s="2"/>
      <c r="F44" s="31" t="n">
        <f aca="false">ServicesNet+PassThrough</f>
        <v>1069220.91984267</v>
      </c>
      <c r="G44" s="2"/>
    </row>
    <row r="45" customFormat="false" ht="15" hidden="false" customHeight="false" outlineLevel="0" collapsed="false">
      <c r="A45" s="2"/>
      <c r="B45" s="2"/>
      <c r="C45" s="2"/>
      <c r="D45" s="2"/>
      <c r="E45" s="2"/>
      <c r="F45" s="2"/>
      <c r="G45" s="2"/>
    </row>
    <row r="46" customFormat="false" ht="15" hidden="false" customHeight="false" outlineLevel="0" collapsed="false">
      <c r="A46" s="2"/>
      <c r="B46" s="2"/>
      <c r="C46" s="2"/>
      <c r="D46" s="2"/>
      <c r="E46" s="2"/>
      <c r="F46" s="2"/>
      <c r="G46" s="2"/>
    </row>
    <row r="47" customFormat="false" ht="15" hidden="false" customHeight="false" outlineLevel="0" collapsed="false">
      <c r="A47" s="19" t="s">
        <v>611</v>
      </c>
      <c r="B47" s="20"/>
      <c r="C47" s="20"/>
      <c r="D47" s="20"/>
      <c r="E47" s="20"/>
      <c r="F47" s="20"/>
      <c r="G47" s="20"/>
    </row>
    <row r="48" customFormat="false" ht="30" hidden="false" customHeight="true" outlineLevel="0" collapsed="false">
      <c r="A48" s="21" t="s">
        <v>188</v>
      </c>
      <c r="B48" s="21" t="s">
        <v>97</v>
      </c>
      <c r="C48" s="21" t="s">
        <v>612</v>
      </c>
      <c r="D48" s="21" t="s">
        <v>613</v>
      </c>
      <c r="E48" s="2"/>
      <c r="F48" s="2"/>
      <c r="G48" s="2"/>
    </row>
    <row r="49" customFormat="false" ht="15" hidden="false" customHeight="false" outlineLevel="0" collapsed="false">
      <c r="A49" s="9" t="n">
        <v>1</v>
      </c>
      <c r="B49" s="9" t="str">
        <f aca="false">IF(INDEX(MilestoneNames,1)="","",INDEX(MilestoneNames,1))</f>
        <v>Contract signature</v>
      </c>
      <c r="C49" s="32" t="n">
        <f aca="false">INDEX(MilestonePct,1)</f>
        <v>0.1</v>
      </c>
      <c r="D49" s="24" t="n">
        <f aca="false">FixedPrice*C49</f>
        <v>106922.091984267</v>
      </c>
      <c r="E49" s="2"/>
      <c r="F49" s="2"/>
      <c r="G49" s="2"/>
    </row>
    <row r="50" customFormat="false" ht="15" hidden="false" customHeight="false" outlineLevel="0" collapsed="false">
      <c r="A50" s="9" t="n">
        <v>2</v>
      </c>
      <c r="B50" s="9" t="str">
        <f aca="false">IF(INDEX(MilestoneNames,2)="","",INDEX(MilestoneNames,2))</f>
        <v>Assessment sign-off</v>
      </c>
      <c r="C50" s="32" t="n">
        <f aca="false">INDEX(MilestonePct,2)</f>
        <v>0.15</v>
      </c>
      <c r="D50" s="24" t="n">
        <f aca="false">FixedPrice*C50</f>
        <v>160383.1379764</v>
      </c>
      <c r="E50" s="2"/>
      <c r="F50" s="2"/>
      <c r="G50" s="2"/>
    </row>
    <row r="51" customFormat="false" ht="15" hidden="false" customHeight="false" outlineLevel="0" collapsed="false">
      <c r="A51" s="9" t="n">
        <v>3</v>
      </c>
      <c r="B51" s="9" t="str">
        <f aca="false">IF(INDEX(MilestoneNames,3)="","",INDEX(MilestoneNames,3))</f>
        <v>Architecture sign-off</v>
      </c>
      <c r="C51" s="32" t="n">
        <f aca="false">INDEX(MilestonePct,3)</f>
        <v>0.1</v>
      </c>
      <c r="D51" s="24" t="n">
        <f aca="false">FixedPrice*C51</f>
        <v>106922.091984267</v>
      </c>
      <c r="E51" s="2"/>
      <c r="F51" s="2"/>
      <c r="G51" s="2"/>
    </row>
    <row r="52" customFormat="false" ht="15" hidden="false" customHeight="false" outlineLevel="0" collapsed="false">
      <c r="A52" s="9" t="n">
        <v>4</v>
      </c>
      <c r="B52" s="9" t="str">
        <f aca="false">IF(INDEX(MilestoneNames,4)="","",INDEX(MilestoneNames,4))</f>
        <v>Mid-development</v>
      </c>
      <c r="C52" s="32" t="n">
        <f aca="false">INDEX(MilestonePct,4)</f>
        <v>0.25</v>
      </c>
      <c r="D52" s="24" t="n">
        <f aca="false">FixedPrice*C52</f>
        <v>267305.229960667</v>
      </c>
      <c r="E52" s="2"/>
      <c r="F52" s="2"/>
      <c r="G52" s="2"/>
    </row>
    <row r="53" customFormat="false" ht="15" hidden="false" customHeight="false" outlineLevel="0" collapsed="false">
      <c r="A53" s="9" t="n">
        <v>5</v>
      </c>
      <c r="B53" s="9" t="str">
        <f aca="false">IF(INDEX(MilestoneNames,5)="","",INDEX(MilestoneNames,5))</f>
        <v>Final go-live</v>
      </c>
      <c r="C53" s="32" t="n">
        <f aca="false">INDEX(MilestonePct,5)</f>
        <v>0.3</v>
      </c>
      <c r="D53" s="24" t="n">
        <f aca="false">FixedPrice*C53</f>
        <v>320766.275952801</v>
      </c>
      <c r="E53" s="2"/>
      <c r="F53" s="2"/>
      <c r="G53" s="2"/>
    </row>
    <row r="54" customFormat="false" ht="15" hidden="false" customHeight="false" outlineLevel="0" collapsed="false">
      <c r="A54" s="9" t="n">
        <v>6</v>
      </c>
      <c r="B54" s="9" t="str">
        <f aca="false">IF(INDEX(MilestoneNames,6)="","",INDEX(MilestoneNames,6))</f>
        <v>Hypercare exit</v>
      </c>
      <c r="C54" s="32" t="n">
        <f aca="false">INDEX(MilestonePct,6)</f>
        <v>0.1</v>
      </c>
      <c r="D54" s="24" t="n">
        <f aca="false">FixedPrice*C54</f>
        <v>106922.091984267</v>
      </c>
      <c r="E54" s="2"/>
      <c r="F54" s="2"/>
      <c r="G54" s="2"/>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8"/>
    <col collapsed="false" customWidth="true" hidden="false" outlineLevel="0" max="3" min="3" style="0" width="28"/>
    <col collapsed="false" customWidth="true" hidden="false" outlineLevel="0" max="4" min="4" style="0" width="50"/>
  </cols>
  <sheetData>
    <row r="1" customFormat="false" ht="19.7" hidden="false" customHeight="false" outlineLevel="0" collapsed="false">
      <c r="A1" s="1" t="s">
        <v>614</v>
      </c>
      <c r="B1" s="2"/>
      <c r="C1" s="2"/>
      <c r="D1" s="2"/>
    </row>
    <row r="2" customFormat="false" ht="15" hidden="false" customHeight="false" outlineLevel="0" collapsed="false">
      <c r="A2" s="3" t="s">
        <v>615</v>
      </c>
      <c r="B2" s="2"/>
      <c r="C2" s="2"/>
      <c r="D2" s="2"/>
    </row>
    <row r="3" customFormat="false" ht="15" hidden="false" customHeight="false" outlineLevel="0" collapsed="false">
      <c r="A3" s="2"/>
      <c r="B3" s="2"/>
      <c r="C3" s="2"/>
      <c r="D3" s="2"/>
    </row>
    <row r="4" customFormat="false" ht="15" hidden="false" customHeight="false" outlineLevel="0" collapsed="false">
      <c r="A4" s="2"/>
      <c r="B4" s="2"/>
      <c r="C4" s="2"/>
      <c r="D4" s="2"/>
    </row>
    <row r="5" customFormat="false" ht="15" hidden="false" customHeight="false" outlineLevel="0" collapsed="false">
      <c r="A5" s="2"/>
      <c r="B5" s="19" t="s">
        <v>111</v>
      </c>
      <c r="C5" s="20"/>
      <c r="D5" s="20"/>
    </row>
    <row r="6" customFormat="false" ht="15" hidden="false" customHeight="false" outlineLevel="0" collapsed="false">
      <c r="A6" s="2"/>
      <c r="B6" s="9" t="s">
        <v>616</v>
      </c>
      <c r="C6" s="9" t="str">
        <f aca="false">Client&amp;" - "&amp;Opportunity</f>
        <v>Example Client - BI modernisation programme</v>
      </c>
      <c r="D6" s="2"/>
    </row>
    <row r="7" customFormat="false" ht="15" hidden="false" customHeight="false" outlineLevel="0" collapsed="false">
      <c r="A7" s="2"/>
      <c r="B7" s="9" t="s">
        <v>617</v>
      </c>
      <c r="C7" s="9" t="str">
        <f aca="false">EstVersion&amp;" - "&amp;TEXT(EstDate,"dd-mmm-yyyy")</f>
        <v>v2.0-draft - 13-Oct-2026</v>
      </c>
      <c r="D7" s="2"/>
    </row>
    <row r="8" customFormat="false" ht="15" hidden="false" customHeight="false" outlineLevel="0" collapsed="false">
      <c r="A8" s="2"/>
      <c r="B8" s="9" t="s">
        <v>618</v>
      </c>
      <c r="C8" s="30" t="n">
        <f aca="false">StartDate</f>
        <v>46391</v>
      </c>
      <c r="D8" s="2"/>
    </row>
    <row r="9" customFormat="false" ht="15" hidden="false" customHeight="false" outlineLevel="0" collapsed="false">
      <c r="A9" s="2"/>
      <c r="B9" s="9" t="s">
        <v>127</v>
      </c>
      <c r="C9" s="9" t="str">
        <f aca="false">EngType</f>
        <v>Pure BI</v>
      </c>
      <c r="D9" s="48" t="s">
        <v>619</v>
      </c>
    </row>
    <row r="10" customFormat="false" ht="15" hidden="false" customHeight="false" outlineLevel="0" collapsed="false">
      <c r="A10" s="2"/>
      <c r="B10" s="2"/>
      <c r="C10" s="2"/>
      <c r="D10" s="2"/>
    </row>
    <row r="11" customFormat="false" ht="15" hidden="false" customHeight="false" outlineLevel="0" collapsed="false">
      <c r="A11" s="2"/>
      <c r="B11" s="19" t="s">
        <v>620</v>
      </c>
      <c r="C11" s="20"/>
      <c r="D11" s="20"/>
    </row>
    <row r="12" customFormat="false" ht="15" hidden="false" customHeight="false" outlineLevel="0" collapsed="false">
      <c r="A12" s="2"/>
      <c r="B12" s="9" t="s">
        <v>125</v>
      </c>
      <c r="C12" s="22" t="n">
        <f aca="false">HrsWk</f>
        <v>40</v>
      </c>
      <c r="D12" s="2"/>
    </row>
    <row r="13" customFormat="false" ht="15" hidden="false" customHeight="false" outlineLevel="0" collapsed="false">
      <c r="A13" s="2"/>
      <c r="B13" s="9" t="s">
        <v>124</v>
      </c>
      <c r="C13" s="29" t="n">
        <f aca="false">IterLen</f>
        <v>2</v>
      </c>
      <c r="D13" s="2"/>
    </row>
    <row r="14" customFormat="false" ht="15" hidden="false" customHeight="false" outlineLevel="0" collapsed="false">
      <c r="A14" s="2"/>
      <c r="B14" s="9" t="s">
        <v>68</v>
      </c>
      <c r="C14" s="29" t="n">
        <f aca="false">IterCount</f>
        <v>10</v>
      </c>
      <c r="D14" s="2"/>
    </row>
    <row r="15" customFormat="false" ht="15" hidden="false" customHeight="false" outlineLevel="0" collapsed="false">
      <c r="A15" s="2"/>
      <c r="B15" s="9" t="s">
        <v>129</v>
      </c>
      <c r="C15" s="9" t="str">
        <f aca="false">SolveMode</f>
        <v>Fix team, compute iterations</v>
      </c>
      <c r="D15" s="2"/>
    </row>
    <row r="16" customFormat="false" ht="15" hidden="false" customHeight="false" outlineLevel="0" collapsed="false">
      <c r="A16" s="2"/>
      <c r="B16" s="9" t="s">
        <v>621</v>
      </c>
      <c r="C16" s="51" t="n">
        <f aca="false">PeakRepTeam</f>
        <v>9.12744543795956</v>
      </c>
      <c r="D16" s="2"/>
    </row>
    <row r="17" customFormat="false" ht="15" hidden="false" customHeight="false" outlineLevel="0" collapsed="false">
      <c r="A17" s="2"/>
      <c r="B17" s="9" t="s">
        <v>622</v>
      </c>
      <c r="C17" s="9" t="str">
        <f aca="false">RampUp&amp;" / "&amp;RampDown</f>
        <v>3 / 3</v>
      </c>
      <c r="D17" s="2"/>
    </row>
    <row r="18" customFormat="false" ht="15" hidden="false" customHeight="false" outlineLevel="0" collapsed="false">
      <c r="A18" s="2"/>
      <c r="B18" s="9" t="s">
        <v>138</v>
      </c>
      <c r="C18" s="29" t="n">
        <f aca="false">ModelLead</f>
        <v>2</v>
      </c>
      <c r="D18" s="2"/>
    </row>
    <row r="19" customFormat="false" ht="15" hidden="false" customHeight="false" outlineLevel="0" collapsed="false">
      <c r="A19" s="2"/>
      <c r="B19" s="9" t="s">
        <v>623</v>
      </c>
      <c r="C19" s="9" t="str">
        <f aca="false">SITWk&amp;" / "&amp;SITEng&amp;" / "&amp;SITFixed</f>
        <v>1 / 4 / 8</v>
      </c>
      <c r="D19" s="2"/>
    </row>
    <row r="20" customFormat="false" ht="15" hidden="false" customHeight="false" outlineLevel="0" collapsed="false">
      <c r="A20" s="2"/>
      <c r="B20" s="9" t="s">
        <v>624</v>
      </c>
      <c r="C20" s="9" t="str">
        <f aca="false">UATWk&amp;" / "&amp;UATEng</f>
        <v>1 / 1</v>
      </c>
      <c r="D20" s="48" t="s">
        <v>625</v>
      </c>
    </row>
    <row r="21" customFormat="false" ht="15" hidden="false" customHeight="false" outlineLevel="0" collapsed="false">
      <c r="A21" s="2"/>
      <c r="B21" s="9" t="s">
        <v>626</v>
      </c>
      <c r="C21" s="9" t="str">
        <f aca="false">DepWk&amp;" / "&amp;DepEng</f>
        <v>1 / 1</v>
      </c>
      <c r="D21" s="2"/>
    </row>
    <row r="22" customFormat="false" ht="15" hidden="false" customHeight="false" outlineLevel="0" collapsed="false">
      <c r="A22" s="2"/>
      <c r="B22" s="9" t="s">
        <v>627</v>
      </c>
      <c r="C22" s="9" t="str">
        <f aca="false">Pipeline</f>
        <v>Yes</v>
      </c>
      <c r="D22" s="2"/>
    </row>
    <row r="23" customFormat="false" ht="15" hidden="false" customHeight="false" outlineLevel="0" collapsed="false">
      <c r="A23" s="2"/>
      <c r="B23" s="9" t="s">
        <v>628</v>
      </c>
      <c r="C23" s="9" t="str">
        <f aca="false">HCWk&amp;" / "&amp;HCCrew</f>
        <v>2 / 2</v>
      </c>
      <c r="D23" s="2"/>
    </row>
    <row r="24" customFormat="false" ht="15" hidden="false" customHeight="false" outlineLevel="0" collapsed="false">
      <c r="A24" s="2"/>
      <c r="B24" s="9" t="s">
        <v>629</v>
      </c>
      <c r="C24" s="32" t="n">
        <f aca="false">HolidayPct</f>
        <v>0.04</v>
      </c>
      <c r="D24" s="2"/>
    </row>
    <row r="25" customFormat="false" ht="15" hidden="false" customHeight="false" outlineLevel="0" collapsed="false">
      <c r="A25" s="2"/>
      <c r="B25" s="2"/>
      <c r="C25" s="2"/>
      <c r="D25" s="2"/>
    </row>
    <row r="26" customFormat="false" ht="15" hidden="false" customHeight="false" outlineLevel="0" collapsed="false">
      <c r="A26" s="2"/>
      <c r="B26" s="19" t="s">
        <v>630</v>
      </c>
      <c r="C26" s="20"/>
      <c r="D26" s="20"/>
    </row>
    <row r="27" customFormat="false" ht="15" hidden="false" customHeight="false" outlineLevel="0" collapsed="false">
      <c r="A27" s="2"/>
      <c r="B27" s="9" t="s">
        <v>162</v>
      </c>
      <c r="C27" s="9" t="str">
        <f aca="false">TEXT(AutoAssess,"0%")&amp;" x "&amp;TEXT(CapAssess,"0%")&amp;" = "&amp;TEXT(AutoAssess*CapAssess,"0.0%")</f>
        <v>0% x 60% = 0.0%</v>
      </c>
      <c r="D27" s="2"/>
    </row>
    <row r="28" customFormat="false" ht="15" hidden="false" customHeight="false" outlineLevel="0" collapsed="false">
      <c r="A28" s="2"/>
      <c r="B28" s="9" t="s">
        <v>163</v>
      </c>
      <c r="C28" s="9" t="str">
        <f aca="false">TEXT(AutoSem,"0%")&amp;" x "&amp;TEXT(CapSem,"0%")&amp;" = "&amp;TEXT(AutoSem*CapSem,"0.0%")</f>
        <v>0% x 40% = 0.0%</v>
      </c>
      <c r="D28" s="2"/>
    </row>
    <row r="29" customFormat="false" ht="15" hidden="false" customHeight="false" outlineLevel="0" collapsed="false">
      <c r="A29" s="2"/>
      <c r="B29" s="9" t="s">
        <v>164</v>
      </c>
      <c r="C29" s="9" t="str">
        <f aca="false">TEXT(AutoRep,"0%")&amp;" x "&amp;TEXT(CapRep,"0%")&amp;" = "&amp;TEXT(AutoRep*CapRep,"0.0%")</f>
        <v>0% x 60% = 0.0%</v>
      </c>
      <c r="D29" s="2"/>
    </row>
    <row r="30" customFormat="false" ht="15" hidden="false" customHeight="false" outlineLevel="0" collapsed="false">
      <c r="A30" s="2"/>
      <c r="B30" s="9" t="s">
        <v>165</v>
      </c>
      <c r="C30" s="9" t="str">
        <f aca="false">TEXT(AutoSIT,"0%")&amp;" x "&amp;TEXT(CapSIT,"0%")&amp;" = "&amp;TEXT(AutoSIT*CapSIT,"0.0%")</f>
        <v>0% x 30% = 0.0%</v>
      </c>
      <c r="D30" s="2"/>
    </row>
    <row r="31" customFormat="false" ht="15" hidden="false" customHeight="false" outlineLevel="0" collapsed="false">
      <c r="A31" s="2"/>
      <c r="B31" s="9" t="s">
        <v>87</v>
      </c>
      <c r="C31" s="9" t="str">
        <f aca="false">TEXT(AutoUAT,"0%")&amp;" x "&amp;TEXT(CapUAT,"0%")&amp;" = "&amp;TEXT(AutoUAT*CapUAT,"0.0%")</f>
        <v>0% x 20% = 0.0%</v>
      </c>
      <c r="D31" s="2"/>
    </row>
    <row r="32" customFormat="false" ht="15" hidden="false" customHeight="false" outlineLevel="0" collapsed="false">
      <c r="A32" s="2"/>
      <c r="B32" s="9" t="s">
        <v>88</v>
      </c>
      <c r="C32" s="9" t="str">
        <f aca="false">TEXT(AutoDep,"0%")&amp;" x "&amp;TEXT(CapDep,"0%")&amp;" = "&amp;TEXT(AutoDep*CapDep,"0.0%")</f>
        <v>0% x 60% = 0.0%</v>
      </c>
      <c r="D32" s="2"/>
    </row>
    <row r="33" customFormat="false" ht="15" hidden="false" customHeight="false" outlineLevel="0" collapsed="false">
      <c r="A33" s="2"/>
      <c r="B33" s="2"/>
      <c r="C33" s="2"/>
      <c r="D33" s="2"/>
    </row>
    <row r="34" customFormat="false" ht="15" hidden="false" customHeight="false" outlineLevel="0" collapsed="false">
      <c r="A34" s="2"/>
      <c r="B34" s="19" t="s">
        <v>631</v>
      </c>
      <c r="C34" s="20"/>
      <c r="D34" s="20"/>
    </row>
    <row r="35" customFormat="false" ht="15" hidden="false" customHeight="false" outlineLevel="0" collapsed="false">
      <c r="A35" s="2"/>
      <c r="B35" s="9" t="s">
        <v>632</v>
      </c>
      <c r="C35" s="9" t="str">
        <f aca="false">INDEX(HrsPage,1)&amp;" / "&amp;INDEX(HrsPage,2)&amp;" / "&amp;INDEX(HrsPage,3)&amp;" / "&amp;INDEX(HrsPage,4)&amp;" / "&amp;HrsDerived</f>
        <v>3.625 / 6.625 / 9.125 / 12.625 / 1</v>
      </c>
      <c r="D35" s="48" t="s">
        <v>633</v>
      </c>
    </row>
    <row r="36" customFormat="false" ht="15" hidden="false" customHeight="false" outlineLevel="0" collapsed="false">
      <c r="A36" s="2"/>
      <c r="B36" s="9" t="s">
        <v>634</v>
      </c>
      <c r="C36" s="9" t="str">
        <f aca="false">TEXT(INDEX(LearnQ,1),"0%")&amp;" / "&amp;TEXT(INDEX(LearnQ,2),"0%")&amp;" / "&amp;TEXT(INDEX(LearnQ,3),"0%")&amp;" / "&amp;TEXT(INDEX(LearnQ,4),"0%")</f>
        <v>0% / 10% / 15% / 20%</v>
      </c>
      <c r="D36" s="2"/>
    </row>
    <row r="37" customFormat="false" ht="15" hidden="false" customHeight="false" outlineLevel="0" collapsed="false">
      <c r="A37" s="2"/>
      <c r="B37" s="9" t="s">
        <v>635</v>
      </c>
      <c r="C37" s="9" t="str">
        <f aca="false">INDEX(ModelHrs,1)&amp;" / "&amp;INDEX(ModelHrs,2)&amp;" / "&amp;INDEX(ModelHrs,3)&amp;" / "&amp;INDEX(ModelHrs,4)</f>
        <v>80 / 120 / 200 / 320</v>
      </c>
      <c r="D37" s="2"/>
    </row>
    <row r="38" customFormat="false" ht="15" hidden="false" customHeight="false" outlineLevel="0" collapsed="false">
      <c r="A38" s="2"/>
      <c r="B38" s="9" t="s">
        <v>636</v>
      </c>
      <c r="C38" s="23" t="n">
        <f aca="false">ContPct</f>
        <v>0.181237845391728</v>
      </c>
      <c r="D38" s="2"/>
    </row>
    <row r="39" customFormat="false" ht="15" hidden="false" customHeight="false" outlineLevel="0" collapsed="false">
      <c r="A39" s="2"/>
      <c r="B39" s="9" t="s">
        <v>637</v>
      </c>
      <c r="C39" s="22" t="n">
        <f aca="false">RiskHrs</f>
        <v>90</v>
      </c>
      <c r="D39" s="2"/>
    </row>
    <row r="40" customFormat="false" ht="15" hidden="false" customHeight="false" outlineLevel="0" collapsed="false">
      <c r="A40" s="2"/>
      <c r="B40" s="9" t="s">
        <v>638</v>
      </c>
      <c r="C40" s="9" t="str">
        <f aca="false">CostMode&amp;" / "&amp;TEXT(DiscountPct,"0%")</f>
        <v>Role mix / 0%</v>
      </c>
      <c r="D40" s="2"/>
    </row>
    <row r="41" customFormat="false" ht="15" hidden="false" customHeight="false" outlineLevel="0" collapsed="false">
      <c r="A41" s="2"/>
      <c r="B41" s="2"/>
      <c r="C41" s="2"/>
      <c r="D41" s="2"/>
    </row>
    <row r="42" customFormat="false" ht="15" hidden="false" customHeight="false" outlineLevel="0" collapsed="false">
      <c r="A42" s="2"/>
      <c r="B42" s="19" t="s">
        <v>639</v>
      </c>
      <c r="C42" s="20"/>
      <c r="D42" s="20"/>
    </row>
    <row r="43" customFormat="false" ht="30" hidden="false" customHeight="true" outlineLevel="0" collapsed="false">
      <c r="A43" s="2"/>
      <c r="B43" s="21" t="s">
        <v>105</v>
      </c>
      <c r="C43" s="21" t="s">
        <v>640</v>
      </c>
      <c r="D43" s="21" t="s">
        <v>641</v>
      </c>
    </row>
    <row r="44" customFormat="false" ht="15" hidden="false" customHeight="false" outlineLevel="0" collapsed="false">
      <c r="A44" s="2"/>
      <c r="B44" s="9" t="str">
        <f aca="false">IF(Effort!C7=1,Effort!B7,"")</f>
        <v>Finance OBIEE to Power BI</v>
      </c>
      <c r="C44" s="9" t="str">
        <f aca="false">IF(Effort!C7=1,TEXT(Effort!F7,"0.00")&amp;" -&gt; "&amp;TEXT(Effort!G7,"0.00"),"")</f>
        <v>1.00 -&gt; 1.00</v>
      </c>
      <c r="D44" s="9" t="str">
        <f aca="false">IF(Effort!C7=1,IF(Scope!$AD7="","",Scope!$AD7),"")</f>
        <v/>
      </c>
    </row>
    <row r="45" customFormat="false" ht="15" hidden="false" customHeight="false" outlineLevel="0" collapsed="false">
      <c r="A45" s="2"/>
      <c r="B45" s="9" t="str">
        <f aca="false">IF(Effort!C8=1,Effort!B8,"")</f>
        <v>Sales Tableau to Power BI</v>
      </c>
      <c r="C45" s="9" t="str">
        <f aca="false">IF(Effort!C8=1,TEXT(Effort!F8,"0.00")&amp;" -&gt; "&amp;TEXT(Effort!G8,"0.00"),"")</f>
        <v>0.95 -&gt; 0.95</v>
      </c>
      <c r="D45" s="9" t="str">
        <f aca="false">IF(Effort!C8=1,IF(Scope!$AD8="","",Scope!$AD8),"")</f>
        <v/>
      </c>
    </row>
    <row r="46" customFormat="false" ht="15" hidden="false" customHeight="false" outlineLevel="0" collapsed="false">
      <c r="A46" s="2"/>
      <c r="B46" s="9" t="str">
        <f aca="false">IF(Effort!C9=1,Effort!B9,"")</f>
        <v/>
      </c>
      <c r="C46" s="9" t="str">
        <f aca="false">IF(Effort!C9=1,TEXT(Effort!F9,"0.00")&amp;" -&gt; "&amp;TEXT(Effort!G9,"0.00"),"")</f>
        <v/>
      </c>
      <c r="D46" s="9" t="str">
        <f aca="false">IF(Effort!C9=1,IF(Scope!$AD9="","",Scope!$AD9),"")</f>
        <v/>
      </c>
    </row>
    <row r="47" customFormat="false" ht="15" hidden="false" customHeight="false" outlineLevel="0" collapsed="false">
      <c r="A47" s="2"/>
      <c r="B47" s="9" t="str">
        <f aca="false">IF(Effort!C10=1,Effort!B10,"")</f>
        <v/>
      </c>
      <c r="C47" s="9" t="str">
        <f aca="false">IF(Effort!C10=1,TEXT(Effort!F10,"0.00")&amp;" -&gt; "&amp;TEXT(Effort!G10,"0.00"),"")</f>
        <v/>
      </c>
      <c r="D47" s="9" t="str">
        <f aca="false">IF(Effort!C10=1,IF(Scope!$AD10="","",Scope!$AD10),"")</f>
        <v/>
      </c>
    </row>
    <row r="48" customFormat="false" ht="15" hidden="false" customHeight="false" outlineLevel="0" collapsed="false">
      <c r="A48" s="2"/>
      <c r="B48" s="9" t="str">
        <f aca="false">IF(Effort!C11=1,Effort!B11,"")</f>
        <v/>
      </c>
      <c r="C48" s="9" t="str">
        <f aca="false">IF(Effort!C11=1,TEXT(Effort!F11,"0.00")&amp;" -&gt; "&amp;TEXT(Effort!G11,"0.00"),"")</f>
        <v/>
      </c>
      <c r="D48" s="9" t="str">
        <f aca="false">IF(Effort!C11=1,IF(Scope!$AD11="","",Scope!$AD11),"")</f>
        <v/>
      </c>
    </row>
    <row r="49" customFormat="false" ht="15" hidden="false" customHeight="false" outlineLevel="0" collapsed="false">
      <c r="A49" s="2"/>
      <c r="B49" s="9" t="str">
        <f aca="false">IF(Effort!C12=1,Effort!B12,"")</f>
        <v/>
      </c>
      <c r="C49" s="9" t="str">
        <f aca="false">IF(Effort!C12=1,TEXT(Effort!F12,"0.00")&amp;" -&gt; "&amp;TEXT(Effort!G12,"0.00"),"")</f>
        <v/>
      </c>
      <c r="D49" s="9" t="str">
        <f aca="false">IF(Effort!C12=1,IF(Scope!$AD12="","",Scope!$AD12),"")</f>
        <v/>
      </c>
    </row>
    <row r="50" customFormat="false" ht="15" hidden="false" customHeight="false" outlineLevel="0" collapsed="false">
      <c r="A50" s="2"/>
      <c r="B50" s="9" t="str">
        <f aca="false">IF(Effort!C13=1,Effort!B13,"")</f>
        <v/>
      </c>
      <c r="C50" s="9" t="str">
        <f aca="false">IF(Effort!C13=1,TEXT(Effort!F13,"0.00")&amp;" -&gt; "&amp;TEXT(Effort!G13,"0.00"),"")</f>
        <v/>
      </c>
      <c r="D50" s="9" t="str">
        <f aca="false">IF(Effort!C13=1,IF(Scope!$AD13="","",Scope!$AD13),"")</f>
        <v/>
      </c>
    </row>
    <row r="51" customFormat="false" ht="15" hidden="false" customHeight="false" outlineLevel="0" collapsed="false">
      <c r="A51" s="2"/>
      <c r="B51" s="9" t="str">
        <f aca="false">IF(Effort!C14=1,Effort!B14,"")</f>
        <v/>
      </c>
      <c r="C51" s="9" t="str">
        <f aca="false">IF(Effort!C14=1,TEXT(Effort!F14,"0.00")&amp;" -&gt; "&amp;TEXT(Effort!G14,"0.00"),"")</f>
        <v/>
      </c>
      <c r="D51" s="9" t="str">
        <f aca="false">IF(Effort!C14=1,IF(Scope!$AD14="","",Scope!$AD14),"")</f>
        <v/>
      </c>
    </row>
    <row r="52" customFormat="false" ht="15" hidden="false" customHeight="false" outlineLevel="0" collapsed="false">
      <c r="A52" s="2"/>
      <c r="B52" s="9" t="str">
        <f aca="false">IF(Effort!C15=1,Effort!B15,"")</f>
        <v/>
      </c>
      <c r="C52" s="9" t="str">
        <f aca="false">IF(Effort!C15=1,TEXT(Effort!F15,"0.00")&amp;" -&gt; "&amp;TEXT(Effort!G15,"0.00"),"")</f>
        <v/>
      </c>
      <c r="D52" s="9" t="str">
        <f aca="false">IF(Effort!C15=1,IF(Scope!$AD15="","",Scope!$AD15),"")</f>
        <v/>
      </c>
    </row>
    <row r="53" customFormat="false" ht="15" hidden="false" customHeight="false" outlineLevel="0" collapsed="false">
      <c r="A53" s="2"/>
      <c r="B53" s="9" t="str">
        <f aca="false">IF(Effort!C16=1,Effort!B16,"")</f>
        <v/>
      </c>
      <c r="C53" s="9" t="str">
        <f aca="false">IF(Effort!C16=1,TEXT(Effort!F16,"0.00")&amp;" -&gt; "&amp;TEXT(Effort!G16,"0.00"),"")</f>
        <v/>
      </c>
      <c r="D53" s="9" t="str">
        <f aca="false">IF(Effort!C16=1,IF(Scope!$AD16="","",Scope!$AD16),"")</f>
        <v/>
      </c>
    </row>
    <row r="54" customFormat="false" ht="15" hidden="false" customHeight="false" outlineLevel="0" collapsed="false">
      <c r="A54" s="2"/>
      <c r="B54" s="9" t="str">
        <f aca="false">IF(Effort!C17=1,Effort!B17,"")</f>
        <v/>
      </c>
      <c r="C54" s="9" t="str">
        <f aca="false">IF(Effort!C17=1,TEXT(Effort!F17,"0.00")&amp;" -&gt; "&amp;TEXT(Effort!G17,"0.00"),"")</f>
        <v/>
      </c>
      <c r="D54" s="9" t="str">
        <f aca="false">IF(Effort!C17=1,IF(Scope!$AD17="","",Scope!$AD17),"")</f>
        <v/>
      </c>
    </row>
    <row r="55" customFormat="false" ht="15" hidden="false" customHeight="false" outlineLevel="0" collapsed="false">
      <c r="A55" s="2"/>
      <c r="B55" s="9" t="str">
        <f aca="false">IF(Effort!C18=1,Effort!B18,"")</f>
        <v/>
      </c>
      <c r="C55" s="9" t="str">
        <f aca="false">IF(Effort!C18=1,TEXT(Effort!F18,"0.00")&amp;" -&gt; "&amp;TEXT(Effort!G18,"0.00"),"")</f>
        <v/>
      </c>
      <c r="D55" s="9" t="str">
        <f aca="false">IF(Effort!C18=1,IF(Scope!$AD18="","",Scope!$AD18),"")</f>
        <v/>
      </c>
    </row>
    <row r="56" customFormat="false" ht="15" hidden="false" customHeight="false" outlineLevel="0" collapsed="false">
      <c r="A56" s="2"/>
      <c r="B56" s="9" t="str">
        <f aca="false">IF(Effort!C19=1,Effort!B19,"")</f>
        <v/>
      </c>
      <c r="C56" s="9" t="str">
        <f aca="false">IF(Effort!C19=1,TEXT(Effort!F19,"0.00")&amp;" -&gt; "&amp;TEXT(Effort!G19,"0.00"),"")</f>
        <v/>
      </c>
      <c r="D56" s="9" t="str">
        <f aca="false">IF(Effort!C19=1,IF(Scope!$AD19="","",Scope!$AD19),"")</f>
        <v/>
      </c>
    </row>
    <row r="57" customFormat="false" ht="15" hidden="false" customHeight="false" outlineLevel="0" collapsed="false">
      <c r="A57" s="2"/>
      <c r="B57" s="9" t="str">
        <f aca="false">IF(Effort!C20=1,Effort!B20,"")</f>
        <v/>
      </c>
      <c r="C57" s="9" t="str">
        <f aca="false">IF(Effort!C20=1,TEXT(Effort!F20,"0.00")&amp;" -&gt; "&amp;TEXT(Effort!G20,"0.00"),"")</f>
        <v/>
      </c>
      <c r="D57" s="9" t="str">
        <f aca="false">IF(Effort!C20=1,IF(Scope!$AD20="","",Scope!$AD20),"")</f>
        <v/>
      </c>
    </row>
    <row r="58" customFormat="false" ht="15" hidden="false" customHeight="false" outlineLevel="0" collapsed="false">
      <c r="A58" s="2"/>
      <c r="B58" s="9" t="str">
        <f aca="false">IF(Effort!C21=1,Effort!B21,"")</f>
        <v/>
      </c>
      <c r="C58" s="9" t="str">
        <f aca="false">IF(Effort!C21=1,TEXT(Effort!F21,"0.00")&amp;" -&gt; "&amp;TEXT(Effort!G21,"0.00"),"")</f>
        <v/>
      </c>
      <c r="D58" s="9" t="str">
        <f aca="false">IF(Effort!C21=1,IF(Scope!$AD21="","",Scope!$AD21),"")</f>
        <v/>
      </c>
    </row>
    <row r="59" customFormat="false" ht="15" hidden="false" customHeight="false" outlineLevel="0" collapsed="false">
      <c r="A59" s="2"/>
      <c r="B59" s="9" t="str">
        <f aca="false">IF(Effort!C22=1,Effort!B22,"")</f>
        <v/>
      </c>
      <c r="C59" s="9" t="str">
        <f aca="false">IF(Effort!C22=1,TEXT(Effort!F22,"0.00")&amp;" -&gt; "&amp;TEXT(Effort!G22,"0.00"),"")</f>
        <v/>
      </c>
      <c r="D59" s="9" t="str">
        <f aca="false">IF(Effort!C22=1,IF(Scope!$AD22="","",Scope!$AD22),"")</f>
        <v/>
      </c>
    </row>
    <row r="60" customFormat="false" ht="15" hidden="false" customHeight="false" outlineLevel="0" collapsed="false">
      <c r="A60" s="2"/>
      <c r="B60" s="9" t="str">
        <f aca="false">IF(Effort!C23=1,Effort!B23,"")</f>
        <v/>
      </c>
      <c r="C60" s="9" t="str">
        <f aca="false">IF(Effort!C23=1,TEXT(Effort!F23,"0.00")&amp;" -&gt; "&amp;TEXT(Effort!G23,"0.00"),"")</f>
        <v/>
      </c>
      <c r="D60" s="9" t="str">
        <f aca="false">IF(Effort!C23=1,IF(Scope!$AD23="","",Scope!$AD23),"")</f>
        <v/>
      </c>
    </row>
    <row r="61" customFormat="false" ht="15" hidden="false" customHeight="false" outlineLevel="0" collapsed="false">
      <c r="A61" s="2"/>
      <c r="B61" s="9" t="str">
        <f aca="false">IF(Effort!C24=1,Effort!B24,"")</f>
        <v/>
      </c>
      <c r="C61" s="9" t="str">
        <f aca="false">IF(Effort!C24=1,TEXT(Effort!F24,"0.00")&amp;" -&gt; "&amp;TEXT(Effort!G24,"0.00"),"")</f>
        <v/>
      </c>
      <c r="D61" s="9" t="str">
        <f aca="false">IF(Effort!C24=1,IF(Scope!$AD24="","",Scope!$AD24),"")</f>
        <v/>
      </c>
    </row>
    <row r="62" customFormat="false" ht="15" hidden="false" customHeight="false" outlineLevel="0" collapsed="false">
      <c r="A62" s="2"/>
      <c r="B62" s="9" t="str">
        <f aca="false">IF(Effort!C25=1,Effort!B25,"")</f>
        <v/>
      </c>
      <c r="C62" s="9" t="str">
        <f aca="false">IF(Effort!C25=1,TEXT(Effort!F25,"0.00")&amp;" -&gt; "&amp;TEXT(Effort!G25,"0.00"),"")</f>
        <v/>
      </c>
      <c r="D62" s="9" t="str">
        <f aca="false">IF(Effort!C25=1,IF(Scope!$AD25="","",Scope!$AD25),"")</f>
        <v/>
      </c>
    </row>
    <row r="63" customFormat="false" ht="15" hidden="false" customHeight="false" outlineLevel="0" collapsed="false">
      <c r="A63" s="2"/>
      <c r="B63" s="9" t="str">
        <f aca="false">IF(Effort!C26=1,Effort!B26,"")</f>
        <v/>
      </c>
      <c r="C63" s="9" t="str">
        <f aca="false">IF(Effort!C26=1,TEXT(Effort!F26,"0.00")&amp;" -&gt; "&amp;TEXT(Effort!G26,"0.00"),"")</f>
        <v/>
      </c>
      <c r="D63" s="9" t="str">
        <f aca="false">IF(Effort!C26=1,IF(Scope!$AD26="","",Scope!$AD26),"")</f>
        <v/>
      </c>
    </row>
    <row r="64" customFormat="false" ht="15" hidden="false" customHeight="false" outlineLevel="0" collapsed="false">
      <c r="A64" s="2"/>
      <c r="B64" s="2"/>
      <c r="C64" s="2"/>
      <c r="D64" s="2"/>
    </row>
    <row r="65" customFormat="false" ht="15" hidden="false" customHeight="false" outlineLevel="0" collapsed="false">
      <c r="A65" s="2"/>
      <c r="B65" s="19" t="s">
        <v>642</v>
      </c>
      <c r="C65" s="20"/>
      <c r="D65" s="20"/>
    </row>
    <row r="66" customFormat="false" ht="15" hidden="false" customHeight="true" outlineLevel="0" collapsed="false">
      <c r="A66" s="2"/>
      <c r="B66" s="44" t="s">
        <v>643</v>
      </c>
      <c r="C66" s="44"/>
      <c r="D66" s="44"/>
    </row>
    <row r="67" customFormat="false" ht="15" hidden="false" customHeight="true" outlineLevel="0" collapsed="false">
      <c r="A67" s="2"/>
      <c r="B67" s="44" t="s">
        <v>644</v>
      </c>
      <c r="C67" s="44"/>
      <c r="D67" s="44"/>
    </row>
    <row r="68" customFormat="false" ht="15" hidden="false" customHeight="true" outlineLevel="0" collapsed="false">
      <c r="A68" s="2"/>
      <c r="B68" s="44" t="s">
        <v>645</v>
      </c>
      <c r="C68" s="44"/>
      <c r="D68" s="44"/>
    </row>
    <row r="69" customFormat="false" ht="15" hidden="false" customHeight="true" outlineLevel="0" collapsed="false">
      <c r="A69" s="2"/>
      <c r="B69" s="44" t="s">
        <v>646</v>
      </c>
      <c r="C69" s="44"/>
      <c r="D69" s="44"/>
    </row>
    <row r="70" customFormat="false" ht="15" hidden="false" customHeight="true" outlineLevel="0" collapsed="false">
      <c r="A70" s="2"/>
      <c r="B70" s="44" t="s">
        <v>647</v>
      </c>
      <c r="C70" s="44"/>
      <c r="D70" s="44"/>
    </row>
    <row r="71" customFormat="false" ht="15" hidden="false" customHeight="true" outlineLevel="0" collapsed="false">
      <c r="A71" s="2"/>
      <c r="B71" s="44" t="s">
        <v>648</v>
      </c>
      <c r="C71" s="44"/>
      <c r="D71" s="44"/>
    </row>
  </sheetData>
  <sheetProtection sheet="true" formatColumns="false" formatRows="false"/>
  <mergeCells count="6">
    <mergeCell ref="B66:D66"/>
    <mergeCell ref="B67:D67"/>
    <mergeCell ref="B68:D68"/>
    <mergeCell ref="B69:D69"/>
    <mergeCell ref="B70:D70"/>
    <mergeCell ref="B71:D7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62"/>
    <col collapsed="false" customWidth="true" hidden="false" outlineLevel="0" max="3" min="3" style="0" width="10"/>
    <col collapsed="false" customWidth="true" hidden="false" outlineLevel="0" max="4" min="4" style="0" width="70"/>
  </cols>
  <sheetData>
    <row r="1" customFormat="false" ht="19.7" hidden="false" customHeight="false" outlineLevel="0" collapsed="false">
      <c r="A1" s="1" t="s">
        <v>51</v>
      </c>
      <c r="B1" s="2"/>
      <c r="C1" s="2"/>
      <c r="D1" s="2"/>
    </row>
    <row r="2" customFormat="false" ht="15" hidden="false" customHeight="false" outlineLevel="0" collapsed="false">
      <c r="A2" s="3" t="s">
        <v>649</v>
      </c>
      <c r="B2" s="2"/>
      <c r="C2" s="2"/>
      <c r="D2" s="2"/>
    </row>
    <row r="3" customFormat="false" ht="15" hidden="false" customHeight="false" outlineLevel="0" collapsed="false">
      <c r="A3" s="2"/>
      <c r="B3" s="2"/>
      <c r="C3" s="2"/>
      <c r="D3" s="2"/>
    </row>
    <row r="4" customFormat="false" ht="30" hidden="false" customHeight="true" outlineLevel="0" collapsed="false">
      <c r="A4" s="21" t="s">
        <v>188</v>
      </c>
      <c r="B4" s="21" t="s">
        <v>650</v>
      </c>
      <c r="C4" s="21" t="s">
        <v>651</v>
      </c>
      <c r="D4" s="21" t="s">
        <v>652</v>
      </c>
    </row>
    <row r="5" customFormat="false" ht="15" hidden="false" customHeight="false" outlineLevel="0" collapsed="false">
      <c r="A5" s="9" t="n">
        <v>1</v>
      </c>
      <c r="B5" s="9" t="s">
        <v>653</v>
      </c>
      <c r="C5" s="26" t="str">
        <f aca="false">IF(IFERROR(ActivePairs&gt;=1,FALSE()),"PASS","FAIL")</f>
        <v>PASS</v>
      </c>
      <c r="D5" s="9" t="str">
        <f aca="false">IFERROR(ActivePairs&amp;" active pair(s)","")</f>
        <v>2 active pair(s)</v>
      </c>
    </row>
    <row r="6" customFormat="false" ht="15" hidden="false" customHeight="false" outlineLevel="0" collapsed="false">
      <c r="A6" s="9" t="n">
        <v>2</v>
      </c>
      <c r="B6" s="9" t="s">
        <v>654</v>
      </c>
      <c r="C6" s="26" t="str">
        <f aca="false">IF(IFERROR(FlagMap=0,FALSE()),"PASS","FAIL")</f>
        <v>PASS</v>
      </c>
      <c r="D6" s="9" t="str">
        <f aca="false">IFERROR(FlagMap&amp;" pair(s) with an unmapped tool - add the tool on Lists","")</f>
        <v>0 pair(s) with an unmapped tool - add the tool on Lists</v>
      </c>
    </row>
    <row r="7" customFormat="false" ht="15" hidden="false" customHeight="false" outlineLevel="0" collapsed="false">
      <c r="A7" s="9" t="n">
        <v>3</v>
      </c>
      <c r="B7" s="9" t="s">
        <v>655</v>
      </c>
      <c r="C7" s="26" t="str">
        <f aca="false">IF(IFERROR(FlagMix=0,FALSE()),"PASS","FAIL")</f>
        <v>PASS</v>
      </c>
      <c r="D7" s="9" t="str">
        <f aca="false">IFERROR(FlagMix&amp;" pair(s) with a mix that does not total 100%","")</f>
        <v>0 pair(s) with a mix that does not total 100%</v>
      </c>
    </row>
    <row r="8" customFormat="false" ht="15" hidden="false" customHeight="false" outlineLevel="0" collapsed="false">
      <c r="A8" s="9" t="n">
        <v>4</v>
      </c>
      <c r="B8" s="9" t="s">
        <v>656</v>
      </c>
      <c r="C8" s="26" t="str">
        <f aca="false">IF(IFERROR(FlagRat=0,FALSE()),"PASS","FAIL")</f>
        <v>PASS</v>
      </c>
      <c r="D8" s="9" t="str">
        <f aca="false">IFERROR(FlagRat&amp;" pair(s) over 100%","")</f>
        <v>0 pair(s) over 100%</v>
      </c>
    </row>
    <row r="9" customFormat="false" ht="15" hidden="false" customHeight="false" outlineLevel="0" collapsed="false">
      <c r="A9" s="9" t="n">
        <v>5</v>
      </c>
      <c r="B9" s="9" t="s">
        <v>657</v>
      </c>
      <c r="C9" s="26" t="str">
        <f aca="false">IF(IFERROR(FlagWhy=0,FALSE()),"PASS","FAIL")</f>
        <v>PASS</v>
      </c>
      <c r="D9" s="9" t="str">
        <f aca="false">IFERROR(FlagWhy&amp;" override(s) without a reason","")</f>
        <v>0 override(s) without a reason</v>
      </c>
    </row>
    <row r="10" customFormat="false" ht="15" hidden="false" customHeight="false" outlineLevel="0" collapsed="false">
      <c r="A10" s="9" t="n">
        <v>6</v>
      </c>
      <c r="B10" s="9" t="s">
        <v>658</v>
      </c>
      <c r="C10" s="26" t="str">
        <f aca="false">IF(IFERROR(FlagPpr=0,FALSE()),"PASS","FAIL")</f>
        <v>PASS</v>
      </c>
      <c r="D10" s="9" t="str">
        <f aca="false">IFERROR(FlagPpr&amp;" pair(s) to fix","")</f>
        <v>0 pair(s) to fix</v>
      </c>
    </row>
    <row r="11" customFormat="false" ht="15" hidden="false" customHeight="false" outlineLevel="0" collapsed="false">
      <c r="A11" s="9" t="n">
        <v>7</v>
      </c>
      <c r="B11" s="9" t="s">
        <v>659</v>
      </c>
      <c r="C11" s="26" t="str">
        <f aca="false">IF(IFERROR(SUMPRODUCT(--(ABS(RoleMixTotals-1)&gt;0.0001))=0,FALSE()),"PASS","FAIL")</f>
        <v>PASS</v>
      </c>
      <c r="D11" s="9" t="str">
        <f aca="false">IFERROR(SUMPRODUCT(--(ABS(RoleMixTotals-1)&gt;0.0001))&amp;" phase row(s) off","")</f>
        <v>0 phase row(s) off</v>
      </c>
    </row>
    <row r="12" customFormat="false" ht="15" hidden="false" customHeight="false" outlineLevel="0" collapsed="false">
      <c r="A12" s="9" t="n">
        <v>8</v>
      </c>
      <c r="B12" s="9" t="s">
        <v>660</v>
      </c>
      <c r="C12" s="26" t="str">
        <f aca="false">IF(IFERROR(COUNTIF(RoleRates,"&gt;0")=COUNTA(RoleNames),FALSE()),"PASS","FAIL")</f>
        <v>PASS</v>
      </c>
      <c r="D12" s="9" t="str">
        <f aca="false">IFERROR(COUNTIF(RoleRates,"&gt;0")&amp;" of "&amp;COUNTA(RoleNames)&amp;" roles priced","")</f>
        <v>8 of 8 roles priced</v>
      </c>
    </row>
    <row r="13" customFormat="false" ht="15" hidden="false" customHeight="false" outlineLevel="0" collapsed="false">
      <c r="A13" s="9" t="n">
        <v>9</v>
      </c>
      <c r="B13" s="9" t="s">
        <v>661</v>
      </c>
      <c r="C13" s="26" t="str">
        <f aca="false">IF(IFERROR(ABS(MilestoneTotal-1)&lt;0.0001,FALSE()),"PASS","FAIL")</f>
        <v>PASS</v>
      </c>
      <c r="D13" s="9" t="str">
        <f aca="false">IFERROR(TEXT(MilestoneTotal,"0%"),"")</f>
        <v>100%</v>
      </c>
    </row>
    <row r="14" customFormat="false" ht="15" hidden="false" customHeight="false" outlineLevel="0" collapsed="false">
      <c r="A14" s="9" t="n">
        <v>10</v>
      </c>
      <c r="B14" s="9" t="s">
        <v>662</v>
      </c>
      <c r="C14" s="26" t="str">
        <f aca="false">IF(IFERROR(ABS(ReconVar)&lt;=ReconTol,FALSE()),"PASS","FAIL")</f>
        <v>PASS</v>
      </c>
      <c r="D14" s="9" t="str">
        <f aca="false">IFERROR("Variance "&amp;TEXT(ReconVar,"0.0%")&amp;" (tolerance "&amp;TEXT(ReconTol,"0%")&amp;")","")</f>
        <v>Variance -1.3% (tolerance 5%)</v>
      </c>
    </row>
    <row r="15" customFormat="false" ht="15" hidden="false" customHeight="false" outlineLevel="0" collapsed="false">
      <c r="A15" s="9" t="n">
        <v>11</v>
      </c>
      <c r="B15" s="9" t="s">
        <v>663</v>
      </c>
      <c r="C15" s="26" t="str">
        <f aca="false">IF(IFERROR(DurationWeeks&lt;=104,FALSE()),"PASS","FAIL")</f>
        <v>PASS</v>
      </c>
      <c r="D15" s="9" t="str">
        <f aca="false">IFERROR(DurationWeeks&amp;" weeks","")</f>
        <v>36 weeks</v>
      </c>
    </row>
    <row r="16" customFormat="false" ht="15" hidden="false" customHeight="false" outlineLevel="0" collapsed="false">
      <c r="A16" s="9" t="n">
        <v>12</v>
      </c>
      <c r="B16" s="9" t="s">
        <v>664</v>
      </c>
      <c r="C16" s="26" t="str">
        <f aca="false">IF(IFERROR(ABS(TotalBaseHrs-PairTotalHrs)&lt;1,FALSE()),"PASS","FAIL")</f>
        <v>PASS</v>
      </c>
      <c r="D16" s="9" t="str">
        <f aca="false">IFERROR("Phases "&amp;TEXT(TotalBaseHrs,"#,##0")&amp;" h vs pairs "&amp;TEXT(PairTotalHrs,"#,##0")&amp;" h","")</f>
        <v>Phases 14,325 h vs pairs 14,325 h</v>
      </c>
    </row>
    <row r="17" customFormat="false" ht="15" hidden="false" customHeight="false" outlineLevel="0" collapsed="false">
      <c r="A17" s="9" t="n">
        <v>13</v>
      </c>
      <c r="B17" s="9" t="s">
        <v>665</v>
      </c>
      <c r="C17" s="26" t="str">
        <f aca="false">IF(IFERROR(ABS(RoleHrsTotal-TotalBaseHrs)&lt;1,FALSE()),"PASS","FAIL")</f>
        <v>PASS</v>
      </c>
      <c r="D17" s="9" t="str">
        <f aca="false">IFERROR("Roles "&amp;TEXT(RoleHrsTotal,"#,##0")&amp;" h","")</f>
        <v>Roles 14,325 h</v>
      </c>
    </row>
    <row r="18" customFormat="false" ht="15" hidden="false" customHeight="false" outlineLevel="0" collapsed="false">
      <c r="A18" s="9" t="n">
        <v>14</v>
      </c>
      <c r="B18" s="9" t="s">
        <v>666</v>
      </c>
      <c r="C18" s="26" t="str">
        <f aca="false">IF(IFERROR(OR(CostMode="Blended",ABS(PhaseCostTotal-RoleCostTotal)&lt;1),FALSE()),"PASS","FAIL")</f>
        <v>PASS</v>
      </c>
      <c r="D18" s="9" t="str">
        <f aca="false">IFERROR("Phase cost "&amp;TEXT(PhaseCostTotal,"$#,##0"),"")</f>
        <v>Phase cost $900,381</v>
      </c>
    </row>
    <row r="19" customFormat="false" ht="15" hidden="false" customHeight="false" outlineLevel="0" collapsed="false">
      <c r="A19" s="9" t="n">
        <v>15</v>
      </c>
      <c r="B19" s="9" t="s">
        <v>667</v>
      </c>
      <c r="C19" s="26" t="str">
        <f aca="false">IF(IFERROR(SUMPRODUCT(--ISERROR(Effort!A7:AV60))+SUMPRODUCT(--ISERROR(Schedule!B5:H80))+SUMPRODUCT(--ISERROR(Plan!A5:DE70))+SUMPRODUCT(--ISERROR(Cost!A5:G60))=0,FALSE()),"PASS","FAIL")</f>
        <v>PASS</v>
      </c>
      <c r="D19" s="9" t="str">
        <f aca="false">IFERROR(SUMPRODUCT(--ISERROR(Effort!A7:AV60))+SUMPRODUCT(--ISERROR(Schedule!B5:H80))+SUMPRODUCT(--ISERROR(Plan!A5:DE70))+SUMPRODUCT(--ISERROR(Cost!A5:G60))&amp;" error cell(s)","")</f>
        <v>0 error cell(s)</v>
      </c>
    </row>
    <row r="20" customFormat="false" ht="15" hidden="false" customHeight="false" outlineLevel="0" collapsed="false">
      <c r="A20" s="2"/>
      <c r="B20" s="2"/>
      <c r="C20" s="2"/>
      <c r="D20" s="2"/>
    </row>
    <row r="21" customFormat="false" ht="15" hidden="false" customHeight="false" outlineLevel="0" collapsed="false">
      <c r="A21" s="2"/>
      <c r="B21" s="26" t="s">
        <v>668</v>
      </c>
      <c r="C21" s="54" t="n">
        <f aca="false">COUNTIF(C5:C19,"FAIL")</f>
        <v>0</v>
      </c>
      <c r="D21" s="2"/>
    </row>
  </sheetData>
  <sheetProtection sheet="true" formatColumns="false" formatRows="false"/>
  <conditionalFormatting sqref="C5:C19">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6" min="3" style="0" width="18"/>
  </cols>
  <sheetData>
    <row r="1" customFormat="false" ht="19.7" hidden="false" customHeight="false" outlineLevel="0" collapsed="false">
      <c r="A1" s="1" t="s">
        <v>53</v>
      </c>
      <c r="B1" s="2"/>
      <c r="C1" s="2"/>
      <c r="D1" s="2"/>
      <c r="E1" s="2"/>
      <c r="F1" s="2"/>
    </row>
    <row r="2" customFormat="false" ht="15" hidden="false" customHeight="false" outlineLevel="0" collapsed="false">
      <c r="A2" s="3" t="s">
        <v>669</v>
      </c>
      <c r="B2" s="2"/>
      <c r="C2" s="2"/>
      <c r="D2" s="2"/>
      <c r="E2" s="2"/>
      <c r="F2" s="2"/>
    </row>
    <row r="3" customFormat="false" ht="15" hidden="false" customHeight="false" outlineLevel="0" collapsed="false">
      <c r="A3" s="2"/>
      <c r="B3" s="2"/>
      <c r="C3" s="2"/>
      <c r="D3" s="2"/>
      <c r="E3" s="2"/>
      <c r="F3" s="2"/>
    </row>
    <row r="4" customFormat="false" ht="30" hidden="false" customHeight="true" outlineLevel="0" collapsed="false">
      <c r="A4" s="2"/>
      <c r="B4" s="21" t="s">
        <v>670</v>
      </c>
      <c r="C4" s="21" t="s">
        <v>671</v>
      </c>
      <c r="D4" s="21" t="s">
        <v>672</v>
      </c>
      <c r="E4" s="21" t="s">
        <v>673</v>
      </c>
      <c r="F4" s="21" t="s">
        <v>674</v>
      </c>
    </row>
    <row r="5" customFormat="false" ht="15" hidden="false" customHeight="false" outlineLevel="0" collapsed="false">
      <c r="A5" s="2"/>
      <c r="B5" s="9" t="s">
        <v>675</v>
      </c>
      <c r="C5" s="9" t="str">
        <f aca="false">"Current"</f>
        <v>Current</v>
      </c>
      <c r="D5" s="33"/>
      <c r="E5" s="33"/>
      <c r="F5" s="33"/>
    </row>
    <row r="6" customFormat="false" ht="15" hidden="false" customHeight="false" outlineLevel="0" collapsed="false">
      <c r="A6" s="2"/>
      <c r="B6" s="9" t="s">
        <v>676</v>
      </c>
      <c r="C6" s="24" t="n">
        <f aca="false">FixedPrice</f>
        <v>1069220.91984267</v>
      </c>
      <c r="D6" s="37"/>
      <c r="E6" s="37"/>
      <c r="F6" s="37"/>
    </row>
    <row r="7" customFormat="false" ht="15" hidden="false" customHeight="false" outlineLevel="0" collapsed="false">
      <c r="A7" s="2"/>
      <c r="B7" s="9" t="s">
        <v>677</v>
      </c>
      <c r="C7" s="22" t="n">
        <f aca="false">TotalHrs</f>
        <v>17010.7630631041</v>
      </c>
      <c r="D7" s="41"/>
      <c r="E7" s="41"/>
      <c r="F7" s="41"/>
    </row>
    <row r="8" customFormat="false" ht="15" hidden="false" customHeight="false" outlineLevel="0" collapsed="false">
      <c r="A8" s="2"/>
      <c r="B8" s="9" t="s">
        <v>678</v>
      </c>
      <c r="C8" s="22" t="n">
        <f aca="false">TotalBaseHrs</f>
        <v>14324.6028978125</v>
      </c>
      <c r="D8" s="41"/>
      <c r="E8" s="41"/>
      <c r="F8" s="41"/>
    </row>
    <row r="9" customFormat="false" ht="15" hidden="false" customHeight="false" outlineLevel="0" collapsed="false">
      <c r="A9" s="2"/>
      <c r="B9" s="9" t="s">
        <v>679</v>
      </c>
      <c r="C9" s="29" t="n">
        <f aca="false">DurationWeeks</f>
        <v>36</v>
      </c>
      <c r="D9" s="40"/>
      <c r="E9" s="40"/>
      <c r="F9" s="40"/>
    </row>
    <row r="10" customFormat="false" ht="15" hidden="false" customHeight="false" outlineLevel="0" collapsed="false">
      <c r="A10" s="2"/>
      <c r="B10" s="9" t="s">
        <v>68</v>
      </c>
      <c r="C10" s="29" t="n">
        <f aca="false">IterCount</f>
        <v>10</v>
      </c>
      <c r="D10" s="40"/>
      <c r="E10" s="40"/>
      <c r="F10" s="40"/>
    </row>
    <row r="11" customFormat="false" ht="15" hidden="false" customHeight="false" outlineLevel="0" collapsed="false">
      <c r="A11" s="2"/>
      <c r="B11" s="9" t="s">
        <v>70</v>
      </c>
      <c r="C11" s="51" t="n">
        <f aca="false">PeakTeam</f>
        <v>18.5</v>
      </c>
      <c r="D11" s="49"/>
      <c r="E11" s="49"/>
      <c r="F11" s="49"/>
    </row>
    <row r="12" customFormat="false" ht="15" hidden="false" customHeight="false" outlineLevel="0" collapsed="false">
      <c r="A12" s="2"/>
      <c r="B12" s="9" t="s">
        <v>71</v>
      </c>
      <c r="C12" s="51" t="n">
        <f aca="false">AvgTeam</f>
        <v>9.81944444444445</v>
      </c>
      <c r="D12" s="49"/>
      <c r="E12" s="49"/>
      <c r="F12" s="49"/>
    </row>
    <row r="13" customFormat="false" ht="15" hidden="false" customHeight="false" outlineLevel="0" collapsed="false">
      <c r="A13" s="2"/>
      <c r="B13" s="9" t="s">
        <v>680</v>
      </c>
      <c r="C13" s="32" t="n">
        <f aca="false">AutoRep</f>
        <v>0</v>
      </c>
      <c r="D13" s="35"/>
      <c r="E13" s="35"/>
      <c r="F13" s="35"/>
    </row>
    <row r="14" customFormat="false" ht="15" hidden="false" customHeight="false" outlineLevel="0" collapsed="false">
      <c r="A14" s="2"/>
      <c r="B14" s="9" t="s">
        <v>109</v>
      </c>
      <c r="C14" s="23" t="n">
        <f aca="false">ContPct</f>
        <v>0.181237845391728</v>
      </c>
      <c r="D14" s="62"/>
      <c r="E14" s="62"/>
      <c r="F14" s="62"/>
    </row>
    <row r="15" customFormat="false" ht="15" hidden="false" customHeight="false" outlineLevel="0" collapsed="false">
      <c r="A15" s="2"/>
      <c r="B15" s="9" t="s">
        <v>166</v>
      </c>
      <c r="C15" s="9" t="str">
        <f aca="false">CostMode</f>
        <v>Role mix</v>
      </c>
      <c r="D15" s="33"/>
      <c r="E15" s="33"/>
      <c r="F15" s="33"/>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0"/>
    <col collapsed="false" customWidth="true" hidden="false" outlineLevel="0" max="4" min="4" style="0" width="80"/>
  </cols>
  <sheetData>
    <row r="1" customFormat="false" ht="19.7" hidden="false" customHeight="false" outlineLevel="0" collapsed="false">
      <c r="A1" s="1" t="s">
        <v>681</v>
      </c>
      <c r="B1" s="2"/>
      <c r="C1" s="2"/>
      <c r="D1" s="2"/>
    </row>
    <row r="2" customFormat="false" ht="15" hidden="false" customHeight="false" outlineLevel="0" collapsed="false">
      <c r="A2" s="3" t="s">
        <v>682</v>
      </c>
      <c r="B2" s="2"/>
      <c r="C2" s="2"/>
      <c r="D2" s="2"/>
    </row>
    <row r="3" customFormat="false" ht="15" hidden="false" customHeight="false" outlineLevel="0" collapsed="false">
      <c r="A3" s="2"/>
      <c r="B3" s="2"/>
      <c r="C3" s="2"/>
      <c r="D3" s="2"/>
    </row>
    <row r="4" customFormat="false" ht="30" hidden="false" customHeight="true" outlineLevel="0" collapsed="false">
      <c r="A4" s="21" t="s">
        <v>683</v>
      </c>
      <c r="B4" s="21" t="s">
        <v>99</v>
      </c>
      <c r="C4" s="21" t="s">
        <v>684</v>
      </c>
      <c r="D4" s="21" t="s">
        <v>685</v>
      </c>
    </row>
    <row r="5" customFormat="false" ht="15" hidden="false" customHeight="false" outlineLevel="0" collapsed="false">
      <c r="A5" s="33" t="s">
        <v>686</v>
      </c>
      <c r="B5" s="34" t="n">
        <v>46308</v>
      </c>
      <c r="C5" s="33" t="s">
        <v>687</v>
      </c>
      <c r="D5" s="33" t="s">
        <v>688</v>
      </c>
    </row>
    <row r="6" customFormat="false" ht="15" hidden="false" customHeight="false" outlineLevel="0" collapsed="false">
      <c r="A6" s="33"/>
      <c r="B6" s="34"/>
      <c r="C6" s="33"/>
      <c r="D6" s="33"/>
    </row>
    <row r="7" customFormat="false" ht="15" hidden="false" customHeight="false" outlineLevel="0" collapsed="false">
      <c r="A7" s="33"/>
      <c r="B7" s="34"/>
      <c r="C7" s="33"/>
      <c r="D7" s="33"/>
    </row>
    <row r="8" customFormat="false" ht="15" hidden="false" customHeight="false" outlineLevel="0" collapsed="false">
      <c r="A8" s="33"/>
      <c r="B8" s="34"/>
      <c r="C8" s="33"/>
      <c r="D8" s="33"/>
    </row>
    <row r="9" customFormat="false" ht="15" hidden="false" customHeight="false" outlineLevel="0" collapsed="false">
      <c r="A9" s="33"/>
      <c r="B9" s="34"/>
      <c r="C9" s="33"/>
      <c r="D9" s="33"/>
    </row>
    <row r="10" customFormat="false" ht="15" hidden="false" customHeight="false" outlineLevel="0" collapsed="false">
      <c r="A10" s="33"/>
      <c r="B10" s="34"/>
      <c r="C10" s="33"/>
      <c r="D10" s="33"/>
    </row>
    <row r="11" customFormat="false" ht="15" hidden="false" customHeight="false" outlineLevel="0" collapsed="false">
      <c r="A11" s="33"/>
      <c r="B11" s="34"/>
      <c r="C11" s="33"/>
      <c r="D11" s="33"/>
    </row>
    <row r="12" customFormat="false" ht="15" hidden="false" customHeight="false" outlineLevel="0" collapsed="false">
      <c r="A12" s="33"/>
      <c r="B12" s="34"/>
      <c r="C12" s="33"/>
      <c r="D12" s="33"/>
    </row>
    <row r="13" customFormat="false" ht="15" hidden="false" customHeight="false" outlineLevel="0" collapsed="false">
      <c r="A13" s="33"/>
      <c r="B13" s="34"/>
      <c r="C13" s="33"/>
      <c r="D13" s="33"/>
    </row>
    <row r="14" customFormat="false" ht="15" hidden="false" customHeight="false" outlineLevel="0" collapsed="false">
      <c r="A14" s="33"/>
      <c r="B14" s="34"/>
      <c r="C14" s="33"/>
      <c r="D14" s="33"/>
    </row>
    <row r="15" customFormat="false" ht="15" hidden="false" customHeight="false" outlineLevel="0" collapsed="false">
      <c r="A15" s="33"/>
      <c r="B15" s="34"/>
      <c r="C15" s="33"/>
      <c r="D15" s="33"/>
    </row>
    <row r="16" customFormat="false" ht="15" hidden="false" customHeight="false" outlineLevel="0" collapsed="false">
      <c r="A16" s="33"/>
      <c r="B16" s="34"/>
      <c r="C16" s="33"/>
      <c r="D16" s="33"/>
    </row>
    <row r="17" customFormat="false" ht="15" hidden="false" customHeight="false" outlineLevel="0" collapsed="false">
      <c r="A17" s="33"/>
      <c r="B17" s="34"/>
      <c r="C17" s="33"/>
      <c r="D17" s="33"/>
    </row>
    <row r="18" customFormat="false" ht="15" hidden="false" customHeight="false" outlineLevel="0" collapsed="false">
      <c r="A18" s="33"/>
      <c r="B18" s="34"/>
      <c r="C18" s="33"/>
      <c r="D18" s="33"/>
    </row>
    <row r="19" customFormat="false" ht="15" hidden="false" customHeight="false" outlineLevel="0" collapsed="false">
      <c r="A19" s="33"/>
      <c r="B19" s="34"/>
      <c r="C19" s="33"/>
      <c r="D19" s="33"/>
    </row>
    <row r="20" customFormat="false" ht="15" hidden="false" customHeight="false" outlineLevel="0" collapsed="false">
      <c r="A20" s="33"/>
      <c r="B20" s="34"/>
      <c r="C20" s="33"/>
      <c r="D20" s="33"/>
    </row>
    <row r="21" customFormat="false" ht="15" hidden="false" customHeight="false" outlineLevel="0" collapsed="false">
      <c r="A21" s="33"/>
      <c r="B21" s="34"/>
      <c r="C21" s="33"/>
      <c r="D21" s="33"/>
    </row>
    <row r="22" customFormat="false" ht="15" hidden="false" customHeight="false" outlineLevel="0" collapsed="false">
      <c r="A22" s="33"/>
      <c r="B22" s="34"/>
      <c r="C22" s="33"/>
      <c r="D22" s="33"/>
    </row>
    <row r="23" customFormat="false" ht="15" hidden="false" customHeight="false" outlineLevel="0" collapsed="false">
      <c r="A23" s="33"/>
      <c r="B23" s="34"/>
      <c r="C23" s="33"/>
      <c r="D23" s="33"/>
    </row>
    <row r="24" customFormat="false" ht="15" hidden="false" customHeight="false" outlineLevel="0" collapsed="false">
      <c r="A24" s="33"/>
      <c r="B24" s="34"/>
      <c r="C24" s="33"/>
      <c r="D24" s="33"/>
    </row>
    <row r="25" customFormat="false" ht="15" hidden="false" customHeight="false" outlineLevel="0" collapsed="false">
      <c r="A25" s="33"/>
      <c r="B25" s="34"/>
      <c r="C25" s="33"/>
      <c r="D25" s="33"/>
    </row>
    <row r="26" customFormat="false" ht="15" hidden="false" customHeight="false" outlineLevel="0" collapsed="false">
      <c r="A26" s="33"/>
      <c r="B26" s="34"/>
      <c r="C26" s="33"/>
      <c r="D26" s="33"/>
    </row>
    <row r="27" customFormat="false" ht="15" hidden="false" customHeight="false" outlineLevel="0" collapsed="false">
      <c r="A27" s="33"/>
      <c r="B27" s="34"/>
      <c r="C27" s="33"/>
      <c r="D27" s="33"/>
    </row>
    <row r="28" customFormat="false" ht="15" hidden="false" customHeight="false" outlineLevel="0" collapsed="false">
      <c r="A28" s="33"/>
      <c r="B28" s="34"/>
      <c r="C28" s="33"/>
      <c r="D28" s="33"/>
    </row>
    <row r="29" customFormat="false" ht="15" hidden="false" customHeight="false" outlineLevel="0" collapsed="false">
      <c r="A29" s="33"/>
      <c r="B29" s="34"/>
      <c r="C29" s="33"/>
      <c r="D29" s="33"/>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2026-10-13T13:06:15Z</dcterms:created>
  <dc:creator>openpyxl</dc:creator>
  <dc:description/>
  <dc:language>en-US</dc:language>
  <cp:lastModifiedBy/>
  <dcterms:modified xsi:type="dcterms:W3CDTF">2026-10-13T13:06:19Z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